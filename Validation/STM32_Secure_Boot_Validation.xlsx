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Manisha Daigavhane\software\workspace\Github_Repositories\STM32-Project-05-Secure-Boot\Validation\"/>
    </mc:Choice>
  </mc:AlternateContent>
  <xr:revisionPtr revIDLastSave="0" documentId="13_ncr:1_{E37CF08C-6C07-4AD4-9A06-167E9FC99970}" xr6:coauthVersionLast="47" xr6:coauthVersionMax="47" xr10:uidLastSave="{00000000-0000-0000-0000-000000000000}"/>
  <bookViews>
    <workbookView xWindow="-108" yWindow="-108" windowWidth="23256" windowHeight="12456" xr2:uid="{00000000-000D-0000-FFFF-FFFF00000000}"/>
  </bookViews>
  <sheets>
    <sheet name="Project_Info" sheetId="1" r:id="rId1"/>
    <sheet name="SHA256_Testing" sheetId="8" r:id="rId2"/>
    <sheet name="Memory_Linked_Config_Test" sheetId="9" r:id="rId3"/>
    <sheet name="Dual_Image_FOTA_Test" sheetId="10" r:id="rId4"/>
    <sheet name="FOTA Boot Flow Validation" sheetId="11" r:id="rId5"/>
    <sheet name="FOTA_AB_Cycling_Recovery" sheetId="13" r:id="rId6"/>
    <sheet name="Defect_Log" sheetId="4" r:id="rId7"/>
    <sheet name="Test_Summary" sheetId="5" r:id="rId8"/>
    <sheet name="COMMON_GDB_ERROR" sheetId="1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5" l="1"/>
  <c r="B7" i="5"/>
</calcChain>
</file>

<file path=xl/sharedStrings.xml><?xml version="1.0" encoding="utf-8"?>
<sst xmlns="http://schemas.openxmlformats.org/spreadsheetml/2006/main" count="790" uniqueCount="634">
  <si>
    <t>Field</t>
  </si>
  <si>
    <t>Value</t>
  </si>
  <si>
    <t>Project Name</t>
  </si>
  <si>
    <t>MCU</t>
  </si>
  <si>
    <t>STM32F407VGT6</t>
  </si>
  <si>
    <t>IDE</t>
  </si>
  <si>
    <t>STM32CubeIDE</t>
  </si>
  <si>
    <t>Author</t>
  </si>
  <si>
    <t>Manisha Daigavhane</t>
  </si>
  <si>
    <t>Version</t>
  </si>
  <si>
    <t>V1.0</t>
  </si>
  <si>
    <t>Start Date</t>
  </si>
  <si>
    <t>Repository</t>
  </si>
  <si>
    <t>Test ID</t>
  </si>
  <si>
    <t>Feature</t>
  </si>
  <si>
    <t>Expected Result</t>
  </si>
  <si>
    <t>Actual Result</t>
  </si>
  <si>
    <t>Status</t>
  </si>
  <si>
    <t>Remarks</t>
  </si>
  <si>
    <t>Pass</t>
  </si>
  <si>
    <t>Description</t>
  </si>
  <si>
    <t>Defect ID</t>
  </si>
  <si>
    <t>Date</t>
  </si>
  <si>
    <t>Root Cause</t>
  </si>
  <si>
    <t>Fix</t>
  </si>
  <si>
    <t>Module</t>
  </si>
  <si>
    <t>Total Tests</t>
  </si>
  <si>
    <t>Fail</t>
  </si>
  <si>
    <t>Pass %</t>
  </si>
  <si>
    <t>Requirement</t>
  </si>
  <si>
    <t>Pre condition</t>
  </si>
  <si>
    <t>Test Procedure</t>
  </si>
  <si>
    <t>Evidence</t>
  </si>
  <si>
    <t>PASS</t>
  </si>
  <si>
    <t>Objective</t>
  </si>
  <si>
    <t>STM32-Project-05-Secure-Boot</t>
  </si>
  <si>
    <t>SHA-001</t>
  </si>
  <si>
    <t>SHA-256 Hash Generation</t>
  </si>
  <si>
    <t>SHA-256 shall generate a 256-bit message digest for a valid input message.</t>
  </si>
  <si>
    <r>
      <t xml:space="preserve">Verify SHA-256 implementation using the standard </t>
    </r>
    <r>
      <rPr>
        <sz val="10"/>
        <color theme="1"/>
        <rFont val="Arial Unicode MS"/>
      </rPr>
      <t>"abc"</t>
    </r>
    <r>
      <rPr>
        <sz val="11"/>
        <color theme="1"/>
        <rFont val="Calibri"/>
        <family val="2"/>
        <scheme val="minor"/>
      </rPr>
      <t xml:space="preserve"> test vector.</t>
    </r>
  </si>
  <si>
    <t>SHA-256 implementation is compiled and executable.</t>
  </si>
  <si>
    <r>
      <t xml:space="preserve">Generated digest shall match </t>
    </r>
    <r>
      <rPr>
        <sz val="10"/>
        <color theme="1"/>
        <rFont val="Arial Unicode MS"/>
      </rPr>
      <t>BA7816BF8F01CFEA414140DE5DAE2223B00361A396177A9CB410FF61F20015AD</t>
    </r>
    <r>
      <rPr>
        <sz val="11"/>
        <color theme="1"/>
        <rFont val="Calibri"/>
        <family val="2"/>
        <scheme val="minor"/>
      </rPr>
      <t>.</t>
    </r>
  </si>
  <si>
    <t>Basic functional test.</t>
  </si>
  <si>
    <t>SHA-002</t>
  </si>
  <si>
    <t>SHA-256 shall correctly process an empty message.</t>
  </si>
  <si>
    <t>Verify SHA-256 behavior when input length is zero.</t>
  </si>
  <si>
    <t>Verifies empty-message handling and padding.</t>
  </si>
  <si>
    <t>SHA-003</t>
  </si>
  <si>
    <t>SHA-256 Padding</t>
  </si>
  <si>
    <t>SHA-256 shall correctly pad messages requiring 55 bytes of data before the length field.</t>
  </si>
  <si>
    <t>Verify padding near the 56-byte boundary.</t>
  </si>
  <si>
    <t>Boundary test.</t>
  </si>
  <si>
    <t>SHA-004</t>
  </si>
  <si>
    <t>SHA-256 shall correctly handle a message whose padding causes the length field to require a new 512-bit block.</t>
  </si>
  <si>
    <r>
      <t xml:space="preserve">Verify the </t>
    </r>
    <r>
      <rPr>
        <sz val="10"/>
        <color theme="1"/>
        <rFont val="Arial Unicode MS"/>
      </rPr>
      <t>buffer_length &gt; 56</t>
    </r>
    <r>
      <rPr>
        <sz val="11"/>
        <color theme="1"/>
        <rFont val="Calibri"/>
        <family val="2"/>
        <scheme val="minor"/>
      </rPr>
      <t xml:space="preserve"> path.</t>
    </r>
  </si>
  <si>
    <t>Critical padding boundary.</t>
  </si>
  <si>
    <t>SHA-005</t>
  </si>
  <si>
    <t>SHA-256 shall correctly process messages longer than one 512-bit block.</t>
  </si>
  <si>
    <t>Verify processing of multiple message blocks and final padding.</t>
  </si>
  <si>
    <t>Verifies multi-block processing.</t>
  </si>
  <si>
    <r>
      <t xml:space="preserve">1. Initialize SHA-256 context.
2. Pass </t>
    </r>
    <r>
      <rPr>
        <sz val="10"/>
        <color theme="1"/>
        <rFont val="Arial Unicode MS"/>
      </rPr>
      <t>"abc"</t>
    </r>
    <r>
      <rPr>
        <sz val="11"/>
        <color theme="1"/>
        <rFont val="Calibri"/>
        <family val="2"/>
        <scheme val="minor"/>
      </rPr>
      <t xml:space="preserve"> to </t>
    </r>
    <r>
      <rPr>
        <sz val="10"/>
        <color theme="1"/>
        <rFont val="Arial Unicode MS"/>
      </rPr>
      <t>SHA256_Update()</t>
    </r>
    <r>
      <rPr>
        <sz val="11"/>
        <color theme="1"/>
        <rFont val="Calibri"/>
        <family val="2"/>
        <scheme val="minor"/>
      </rPr>
      <t xml:space="preserve">.
3. Call </t>
    </r>
    <r>
      <rPr>
        <sz val="10"/>
        <color theme="1"/>
        <rFont val="Arial Unicode MS"/>
      </rPr>
      <t>SHA256_Final()</t>
    </r>
    <r>
      <rPr>
        <sz val="11"/>
        <color theme="1"/>
        <rFont val="Calibri"/>
        <family val="2"/>
        <scheme val="minor"/>
      </rPr>
      <t>.
4. Compare generated digest with the reference digest.</t>
    </r>
  </si>
  <si>
    <r>
      <t xml:space="preserve">1. Initialize SHA-256 context.
2. Call </t>
    </r>
    <r>
      <rPr>
        <sz val="10"/>
        <color theme="1"/>
        <rFont val="Arial Unicode MS"/>
      </rPr>
      <t>SHA256_Update()</t>
    </r>
    <r>
      <rPr>
        <sz val="11"/>
        <color theme="1"/>
        <rFont val="Calibri"/>
        <family val="2"/>
        <scheme val="minor"/>
      </rPr>
      <t xml:space="preserve"> with zero-length input.
3. Call </t>
    </r>
    <r>
      <rPr>
        <sz val="10"/>
        <color theme="1"/>
        <rFont val="Arial Unicode MS"/>
      </rPr>
      <t>SHA256_Final()</t>
    </r>
    <r>
      <rPr>
        <sz val="11"/>
        <color theme="1"/>
        <rFont val="Calibri"/>
        <family val="2"/>
        <scheme val="minor"/>
      </rPr>
      <t>.
4. Compare generated digest with the reference digest.</t>
    </r>
  </si>
  <si>
    <t>1. Create a 55-byte test message.
2. Calculate SHA-256 digest.
3. Compare against the reference digest.</t>
  </si>
  <si>
    <t>1. Create a 56-byte test message.
2. Calculate SHA-256 digest.
3. Compare against the reference digest.
4. Confirm that an additional padded block is processed.</t>
  </si>
  <si>
    <t>BA7816BF8F01CFEA414140DE5DAE2223B00361A396177A9CB410FF61F20015AD</t>
  </si>
  <si>
    <r>
      <t xml:space="preserve">Generated digest shall match </t>
    </r>
    <r>
      <rPr>
        <sz val="10"/>
        <color theme="1"/>
        <rFont val="Arial Unicode MS"/>
      </rPr>
      <t>E3B0C44298FC1C149AFBF4C8996FB92427AE41E4649B934CA495991B7852B855.</t>
    </r>
  </si>
  <si>
    <t>E3B0C44298FC1C149AFBF4C8996FB92427AE41E4649B934CA495991B7852B855</t>
  </si>
  <si>
    <t>SHA-DEF-001</t>
  </si>
  <si>
    <t>SHA-256 Validation</t>
  </si>
  <si>
    <t>Impact</t>
  </si>
  <si>
    <t>Closed</t>
  </si>
  <si>
    <t>Validation Result</t>
  </si>
  <si>
    <t>SHA256_test002.png</t>
  </si>
  <si>
    <t>SHA256_test001.png</t>
  </si>
  <si>
    <t>Generated digest shall match 339372547693d8c41329c84ae47636af3bf5b88946b41f84a3caf4a95da832f1</t>
  </si>
  <si>
    <t>339372547693d8c41329c84ae47636af3bf5b88946b41f84a3caf4a95da832f1</t>
  </si>
  <si>
    <t>SHA256_test004A.png
SHA256_test004B.png
SHA256_test004C.png</t>
  </si>
  <si>
    <t>98b51619ea5171f115b7013d5e7a40602b609257a37f97e21cc55ff9c6c9e646</t>
  </si>
  <si>
    <t>Generated digest shall match 98b51619ea5171f115b7013d5e7a40602b609257a37f97e21cc55ff9c6c9e646</t>
  </si>
  <si>
    <t>SHA256_test003A.png
SHA256_test003B.png</t>
  </si>
  <si>
    <r>
      <t xml:space="preserve">1. Create a 305-byte test message.
2. Calculate SHA-256 digest.
3. Compare against the reference digest.
4. Verify that the first complete block is transformed during </t>
    </r>
    <r>
      <rPr>
        <sz val="10"/>
        <color theme="1"/>
        <rFont val="Arial Unicode MS"/>
      </rPr>
      <t>SHA256_Update()</t>
    </r>
    <r>
      <rPr>
        <sz val="11"/>
        <color theme="1"/>
        <rFont val="Calibri"/>
        <family val="2"/>
        <scheme val="minor"/>
      </rPr>
      <t xml:space="preserve"> and the remaining data is processed during </t>
    </r>
    <r>
      <rPr>
        <sz val="10"/>
        <color theme="1"/>
        <rFont val="Arial Unicode MS"/>
      </rPr>
      <t>SHA256_Final()</t>
    </r>
    <r>
      <rPr>
        <sz val="11"/>
        <color theme="1"/>
        <rFont val="Calibri"/>
        <family val="2"/>
        <scheme val="minor"/>
      </rPr>
      <t>.</t>
    </r>
  </si>
  <si>
    <t>Generated digest shall match b198e295b1e223c56ce063c54c8e06fa592386776a480940042572d147a85631.</t>
  </si>
  <si>
    <t>b198e295b1e223c56ce063c54c8e06fa592386776a480940042572d147a85631</t>
  </si>
  <si>
    <t>SHA256_test005.png</t>
  </si>
  <si>
    <t xml:space="preserve">Note </t>
  </si>
  <si>
    <r>
      <t xml:space="preserve">Hash values are taken from </t>
    </r>
    <r>
      <rPr>
        <u/>
        <sz val="11"/>
        <color rgb="FF00B0F0"/>
        <rFont val="Calibri"/>
        <family val="2"/>
        <scheme val="minor"/>
      </rPr>
      <t>https://emn178.github.io/online-tools/sha256.html</t>
    </r>
  </si>
  <si>
    <t>MEM-001</t>
  </si>
  <si>
    <t>Application Memory Relocation</t>
  </si>
  <si>
    <t>Application shall start from the configured Flash Sector 3 address</t>
  </si>
  <si>
    <r>
      <t xml:space="preserve">Verify application linker configuration is relocated to </t>
    </r>
    <r>
      <rPr>
        <sz val="10"/>
        <color theme="1"/>
        <rFont val="Arial Unicode MS"/>
      </rPr>
      <t>0x0800C000</t>
    </r>
  </si>
  <si>
    <r>
      <t xml:space="preserve">Application linker script configured with </t>
    </r>
    <r>
      <rPr>
        <sz val="10"/>
        <color theme="1"/>
        <rFont val="Arial Unicode MS"/>
      </rPr>
      <t>FLASH ORIGIN = 0x0800C000</t>
    </r>
    <r>
      <rPr>
        <sz val="11"/>
        <color theme="1"/>
        <rFont val="Calibri"/>
        <family val="2"/>
        <scheme val="minor"/>
      </rPr>
      <t xml:space="preserve">, </t>
    </r>
    <r>
      <rPr>
        <sz val="10"/>
        <color theme="1"/>
        <rFont val="Arial Unicode MS"/>
      </rPr>
      <t>LENGTH = 464K</t>
    </r>
  </si>
  <si>
    <t>Build and flash the application, then execute it on STM32F407</t>
  </si>
  <si>
    <t>Application builds successfully and executes correctly from Sector 3</t>
  </si>
  <si>
    <t>Application rebuilt, flashed successfully, and executed as expected from the relocated Flash region</t>
  </si>
  <si>
    <t>MEM-001_Application_Relocation_Sector3.png</t>
  </si>
  <si>
    <t>Confirms runtime operation after linker relocation</t>
  </si>
  <si>
    <t>MEM-002</t>
  </si>
  <si>
    <t>Application Image Boundary</t>
  </si>
  <si>
    <t>Application image start and end shall be determinable from linker output</t>
  </si>
  <si>
    <r>
      <t xml:space="preserve">Verify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xml:space="preserve"> are generated correctly in the application </t>
    </r>
    <r>
      <rPr>
        <sz val="10"/>
        <color theme="1"/>
        <rFont val="Arial Unicode MS"/>
      </rPr>
      <t>.map</t>
    </r>
    <r>
      <rPr>
        <sz val="11"/>
        <color theme="1"/>
        <rFont val="Calibri"/>
        <family val="2"/>
        <scheme val="minor"/>
      </rPr>
      <t xml:space="preserve"> file</t>
    </r>
  </si>
  <si>
    <t>Application successfully built with linker-generated image boundary symbols</t>
  </si>
  <si>
    <r>
      <t xml:space="preserve">Inspect </t>
    </r>
    <r>
      <rPr>
        <sz val="10"/>
        <color theme="1"/>
        <rFont val="Arial Unicode MS"/>
      </rPr>
      <t>Main_App.map</t>
    </r>
    <r>
      <rPr>
        <sz val="11"/>
        <color theme="1"/>
        <rFont val="Calibri"/>
        <family val="2"/>
        <scheme val="minor"/>
      </rPr>
      <t xml:space="preserve"> for </t>
    </r>
    <r>
      <rPr>
        <sz val="10"/>
        <color theme="1"/>
        <rFont val="Arial Unicode MS"/>
      </rPr>
      <t>_app_image_start</t>
    </r>
    <r>
      <rPr>
        <sz val="11"/>
        <color theme="1"/>
        <rFont val="Calibri"/>
        <family val="2"/>
        <scheme val="minor"/>
      </rPr>
      <t xml:space="preserve"> and </t>
    </r>
    <r>
      <rPr>
        <sz val="10"/>
        <color theme="1"/>
        <rFont val="Arial Unicode MS"/>
      </rPr>
      <t>_app_image_end</t>
    </r>
  </si>
  <si>
    <t>Symbols shall be present with valid addresses</t>
  </si>
  <si>
    <r>
      <t>_app_image_start = 0x0800C000</t>
    </r>
    <r>
      <rPr>
        <sz val="11"/>
        <color theme="1"/>
        <rFont val="Calibri"/>
        <family val="2"/>
        <scheme val="minor"/>
      </rPr>
      <t xml:space="preserve">; </t>
    </r>
    <r>
      <rPr>
        <sz val="10"/>
        <color theme="1"/>
        <rFont val="Arial Unicode MS"/>
      </rPr>
      <t>_app_image_end = 0x0800DA0C</t>
    </r>
  </si>
  <si>
    <t>MEM-002_App_Image_Boundaries_MAP.png</t>
  </si>
  <si>
    <r>
      <t xml:space="preserve">Current image size = </t>
    </r>
    <r>
      <rPr>
        <sz val="10"/>
        <color theme="1"/>
        <rFont val="Arial Unicode MS"/>
      </rPr>
      <t>0x1A0C</t>
    </r>
    <r>
      <rPr>
        <sz val="11"/>
        <color theme="1"/>
        <rFont val="Calibri"/>
        <family val="2"/>
        <scheme val="minor"/>
      </rPr>
      <t xml:space="preserve"> = 6668 bytes</t>
    </r>
  </si>
  <si>
    <t>MEM-003</t>
  </si>
  <si>
    <t>Linker-generated application boundaries shall be present in the final application ELF</t>
  </si>
  <si>
    <t>Verify symbols are retained in the final ELF used for the firmware build</t>
  </si>
  <si>
    <t>Application ELF generated successfully</t>
  </si>
  <si>
    <r>
      <t xml:space="preserve">Run </t>
    </r>
    <r>
      <rPr>
        <sz val="10"/>
        <color theme="1"/>
        <rFont val="Arial Unicode MS"/>
      </rPr>
      <t>arm-none-eabi-nm --defined-only Main_App.elf</t>
    </r>
    <r>
      <rPr>
        <sz val="11"/>
        <color theme="1"/>
        <rFont val="Calibri"/>
        <family val="2"/>
        <scheme val="minor"/>
      </rPr>
      <t xml:space="preserve"> and filter for </t>
    </r>
    <r>
      <rPr>
        <sz val="10"/>
        <color theme="1"/>
        <rFont val="Arial Unicode MS"/>
      </rPr>
      <t>_app_image_</t>
    </r>
    <r>
      <rPr>
        <sz val="11"/>
        <color theme="1"/>
        <rFont val="Calibri"/>
        <family val="2"/>
        <scheme val="minor"/>
      </rPr>
      <t xml:space="preserve"> symbols</t>
    </r>
  </si>
  <si>
    <t>Both symbols shall be present with the expected addresses</t>
  </si>
  <si>
    <t>MEM-003_App_Image_Boundaries_ELF.png</t>
  </si>
  <si>
    <r>
      <t xml:space="preserve">Confirms boundaries exist in the actual ELF, not only the </t>
    </r>
    <r>
      <rPr>
        <sz val="10"/>
        <color theme="1"/>
        <rFont val="Arial Unicode MS"/>
      </rPr>
      <t>.map</t>
    </r>
    <r>
      <rPr>
        <sz val="11"/>
        <color theme="1"/>
        <rFont val="Calibri"/>
        <family val="2"/>
        <scheme val="minor"/>
      </rPr>
      <t xml:space="preserve"> file</t>
    </r>
  </si>
  <si>
    <t>MEM-004</t>
  </si>
  <si>
    <t>Automated Application Image Size Generation</t>
  </si>
  <si>
    <t>Application image boundaries and size shall be automatically derived from the final application ELF</t>
  </si>
  <si>
    <r>
      <t xml:space="preserve">Verify that the Python build utility extracts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xml:space="preserve"> from </t>
    </r>
    <r>
      <rPr>
        <sz val="10"/>
        <color theme="1"/>
        <rFont val="Arial Unicode MS"/>
      </rPr>
      <t>Main_App.elf</t>
    </r>
    <r>
      <rPr>
        <sz val="11"/>
        <color theme="1"/>
        <rFont val="Calibri"/>
        <family val="2"/>
        <scheme val="minor"/>
      </rPr>
      <t xml:space="preserve"> and generates </t>
    </r>
    <r>
      <rPr>
        <sz val="10"/>
        <color theme="1"/>
        <rFont val="Arial Unicode MS"/>
      </rPr>
      <t>app_image_info.h</t>
    </r>
  </si>
  <si>
    <t>Application successfully built and linker-generated image boundary symbols are present in the ELF</t>
  </si>
  <si>
    <r>
      <t xml:space="preserve">Execute </t>
    </r>
    <r>
      <rPr>
        <sz val="10"/>
        <color theme="1"/>
        <rFont val="Arial Unicode MS"/>
      </rPr>
      <t>generate_app_image_info.py</t>
    </r>
    <r>
      <rPr>
        <sz val="11"/>
        <color theme="1"/>
        <rFont val="Calibri"/>
        <family val="2"/>
        <scheme val="minor"/>
      </rPr>
      <t xml:space="preserve"> with </t>
    </r>
    <r>
      <rPr>
        <sz val="10"/>
        <color theme="1"/>
        <rFont val="Arial Unicode MS"/>
      </rPr>
      <t>Main_App.elf</t>
    </r>
    <r>
      <rPr>
        <sz val="11"/>
        <color theme="1"/>
        <rFont val="Calibri"/>
        <family val="2"/>
        <scheme val="minor"/>
      </rPr>
      <t xml:space="preserve"> as input and generate </t>
    </r>
    <r>
      <rPr>
        <sz val="10"/>
        <color theme="1"/>
        <rFont val="Arial Unicode MS"/>
      </rPr>
      <t>app_image_info.h</t>
    </r>
  </si>
  <si>
    <t>Script shall extract the linker symbols, calculate the image size, and generate the header with correct values</t>
  </si>
  <si>
    <r>
      <t>_app_image_start = 0x0800C000</t>
    </r>
    <r>
      <rPr>
        <sz val="11"/>
        <color theme="1"/>
        <rFont val="Calibri"/>
        <family val="2"/>
        <scheme val="minor"/>
      </rPr>
      <t xml:space="preserve">, </t>
    </r>
    <r>
      <rPr>
        <sz val="10"/>
        <color theme="1"/>
        <rFont val="Arial Unicode MS"/>
      </rPr>
      <t>_app_image_end = 0x0800DA0C</t>
    </r>
    <r>
      <rPr>
        <sz val="11"/>
        <color theme="1"/>
        <rFont val="Calibri"/>
        <family val="2"/>
        <scheme val="minor"/>
      </rPr>
      <t xml:space="preserve">, image size = 6668 bytes; </t>
    </r>
    <r>
      <rPr>
        <sz val="10"/>
        <color theme="1"/>
        <rFont val="Arial Unicode MS"/>
      </rPr>
      <t>app_image_info.h</t>
    </r>
    <r>
      <rPr>
        <sz val="11"/>
        <color theme="1"/>
        <rFont val="Calibri"/>
        <family val="2"/>
        <scheme val="minor"/>
      </rPr>
      <t xml:space="preserve"> generated successfully</t>
    </r>
  </si>
  <si>
    <r>
      <t xml:space="preserve">Eliminates manual extraction of application size from the </t>
    </r>
    <r>
      <rPr>
        <sz val="10"/>
        <color theme="1"/>
        <rFont val="Arial Unicode MS"/>
      </rPr>
      <t>.map</t>
    </r>
    <r>
      <rPr>
        <sz val="11"/>
        <color theme="1"/>
        <rFont val="Calibri"/>
        <family val="2"/>
        <scheme val="minor"/>
      </rPr>
      <t xml:space="preserve"> file</t>
    </r>
  </si>
  <si>
    <t>MEM-004_Automated_Image_Size_Generation.png
MEM-004_Automated_Image_Size_Generation_2.png</t>
  </si>
  <si>
    <t>MEM-005</t>
  </si>
  <si>
    <t>Automated Image Boundary Generation</t>
  </si>
  <si>
    <t>Application image information shall be automatically generated from the final application ELF</t>
  </si>
  <si>
    <r>
      <t xml:space="preserve">Verify CubeIDE automatically executes the image-information generation script after an application build and generates the correct </t>
    </r>
    <r>
      <rPr>
        <sz val="10"/>
        <color theme="1"/>
        <rFont val="Arial Unicode MS"/>
      </rPr>
      <t>app_image_info.h</t>
    </r>
  </si>
  <si>
    <r>
      <t xml:space="preserve">Application linker generates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Python generation script configured as a post-build step</t>
    </r>
  </si>
  <si>
    <t>Clean-build the Application project and observe the post-build command and generated output</t>
  </si>
  <si>
    <t>Post-build script executes successfully and generates correct application start, end, and image size information</t>
  </si>
  <si>
    <r>
      <t xml:space="preserve">Script executed automatically during CubeIDE build; Start = </t>
    </r>
    <r>
      <rPr>
        <sz val="10"/>
        <color theme="1"/>
        <rFont val="Arial Unicode MS"/>
      </rPr>
      <t>0x0800C000</t>
    </r>
    <r>
      <rPr>
        <sz val="11"/>
        <color theme="1"/>
        <rFont val="Calibri"/>
        <family val="2"/>
        <scheme val="minor"/>
      </rPr>
      <t xml:space="preserve">, End = </t>
    </r>
    <r>
      <rPr>
        <sz val="10"/>
        <color theme="1"/>
        <rFont val="Arial Unicode MS"/>
      </rPr>
      <t>0x0800DA0C</t>
    </r>
    <r>
      <rPr>
        <sz val="11"/>
        <color theme="1"/>
        <rFont val="Calibri"/>
        <family val="2"/>
        <scheme val="minor"/>
      </rPr>
      <t xml:space="preserve">, Size = </t>
    </r>
    <r>
      <rPr>
        <sz val="10"/>
        <color theme="1"/>
        <rFont val="Arial Unicode MS"/>
      </rPr>
      <t>6668 bytes</t>
    </r>
    <r>
      <rPr>
        <sz val="11"/>
        <color theme="1"/>
        <rFont val="Calibri"/>
        <family val="2"/>
        <scheme val="minor"/>
      </rPr>
      <t xml:space="preserve">; </t>
    </r>
    <r>
      <rPr>
        <sz val="10"/>
        <color theme="1"/>
        <rFont val="Arial Unicode MS"/>
      </rPr>
      <t>app_image_info.h</t>
    </r>
    <r>
      <rPr>
        <sz val="11"/>
        <color theme="1"/>
        <rFont val="Calibri"/>
        <family val="2"/>
        <scheme val="minor"/>
      </rPr>
      <t xml:space="preserve"> generated successfully</t>
    </r>
  </si>
  <si>
    <t>MEM-005_Automated_Image_Info_PostBuild.png</t>
  </si>
  <si>
    <t>Establishes the verified Application build-to-image-information pipeline</t>
  </si>
  <si>
    <t>Steps to Reproduce</t>
  </si>
  <si>
    <t>Application Vector Table / Bootloader Handover</t>
  </si>
  <si>
    <t>Component</t>
  </si>
  <si>
    <t>MEM-DEF-001</t>
  </si>
  <si>
    <t>Incorrect expected SHA-256 reference value was initially identified for the 0-byte input during SHA-256 test-vector preparation.</t>
  </si>
  <si>
    <t>Calculated SHA-256 digest shall match the standard reference value for an empty input.</t>
  </si>
  <si>
    <r>
      <t xml:space="preserve">Calculated value matched the standard empty-input SHA-256 digest, but the initially entered reference value was incorrect. Reference value initially entered: </t>
    </r>
    <r>
      <rPr>
        <sz val="10"/>
        <color theme="1"/>
        <rFont val="Arial Unicode MS"/>
      </rPr>
      <t>E3B0C44298FC1C149AFBF4C8996FB92427AE41E4649BAE4F1CA495991B7852B8</t>
    </r>
    <r>
      <rPr>
        <sz val="11"/>
        <color theme="1"/>
        <rFont val="Calibri"/>
        <family val="2"/>
        <scheme val="minor"/>
      </rPr>
      <t xml:space="preserve">. Correct reference value: </t>
    </r>
    <r>
      <rPr>
        <sz val="10"/>
        <color theme="1"/>
        <rFont val="Arial Unicode MS"/>
      </rPr>
      <t>E3B0C44298FC1C149AFBF4C8996FB92427AE41E4649B934CA495991B7852B855</t>
    </r>
    <r>
      <rPr>
        <sz val="11"/>
        <color theme="1"/>
        <rFont val="Calibri"/>
        <family val="2"/>
        <scheme val="minor"/>
      </rPr>
      <t>.</t>
    </r>
  </si>
  <si>
    <t>Incorrect reference value/typographical error during test-vector preparation. SHA-256 implementation was not defective.</t>
  </si>
  <si>
    <t>Initial test result appeared to indicate an implementation mismatch, causing false failure during validation.</t>
  </si>
  <si>
    <t>Corrected the expected reference test vector and re-ran the test.</t>
  </si>
  <si>
    <t>PASS — Corrected reference value matched the calculated SHA-256 result.</t>
  </si>
  <si>
    <r>
      <t xml:space="preserve">Application entered HardFault after Bootloader → Application handover with </t>
    </r>
    <r>
      <rPr>
        <sz val="10"/>
        <color theme="1"/>
        <rFont val="Arial Unicode MS"/>
      </rPr>
      <t>IACCVIOL = 1</t>
    </r>
    <r>
      <rPr>
        <sz val="11"/>
        <color theme="1"/>
        <rFont val="Calibri"/>
        <family val="2"/>
        <scheme val="minor"/>
      </rPr>
      <t xml:space="preserve"> and </t>
    </r>
    <r>
      <rPr>
        <sz val="10"/>
        <color theme="1"/>
        <rFont val="Arial Unicode MS"/>
      </rPr>
      <t>PC = 0x00000000</t>
    </r>
    <r>
      <rPr>
        <sz val="11"/>
        <color theme="1"/>
        <rFont val="Calibri"/>
        <family val="2"/>
        <scheme val="minor"/>
      </rPr>
      <t>.</t>
    </r>
  </si>
  <si>
    <r>
      <t xml:space="preserve">Application should start from </t>
    </r>
    <r>
      <rPr>
        <sz val="10"/>
        <color theme="1"/>
        <rFont val="Arial Unicode MS"/>
      </rPr>
      <t>0x0800C000</t>
    </r>
    <r>
      <rPr>
        <sz val="11"/>
        <color theme="1"/>
        <rFont val="Calibri"/>
        <family val="2"/>
        <scheme val="minor"/>
      </rPr>
      <t xml:space="preserve"> with </t>
    </r>
    <r>
      <rPr>
        <sz val="10"/>
        <color theme="1"/>
        <rFont val="Arial Unicode MS"/>
      </rPr>
      <t>VTOR = 0x0800C000</t>
    </r>
    <r>
      <rPr>
        <sz val="11"/>
        <color theme="1"/>
        <rFont val="Calibri"/>
        <family val="2"/>
        <scheme val="minor"/>
      </rPr>
      <t xml:space="preserve"> and no fault.</t>
    </r>
  </si>
  <si>
    <r>
      <t xml:space="preserve">HardFault occurred with </t>
    </r>
    <r>
      <rPr>
        <sz val="10"/>
        <color theme="1"/>
        <rFont val="Arial Unicode MS"/>
      </rPr>
      <t>HFSR = 0x40000000</t>
    </r>
    <r>
      <rPr>
        <sz val="11"/>
        <color theme="1"/>
        <rFont val="Calibri"/>
        <family val="2"/>
        <scheme val="minor"/>
      </rPr>
      <t xml:space="preserve">, </t>
    </r>
    <r>
      <rPr>
        <sz val="10"/>
        <color theme="1"/>
        <rFont val="Arial Unicode MS"/>
      </rPr>
      <t>IACCVIOL = 1</t>
    </r>
    <r>
      <rPr>
        <sz val="11"/>
        <color theme="1"/>
        <rFont val="Calibri"/>
        <family val="2"/>
        <scheme val="minor"/>
      </rPr>
      <t xml:space="preserve">, </t>
    </r>
    <r>
      <rPr>
        <sz val="10"/>
        <color theme="1"/>
        <rFont val="Arial Unicode MS"/>
      </rPr>
      <t>PC = 0x00000000</t>
    </r>
    <r>
      <rPr>
        <sz val="11"/>
        <color theme="1"/>
        <rFont val="Calibri"/>
        <family val="2"/>
        <scheme val="minor"/>
      </rPr>
      <t xml:space="preserve">, and </t>
    </r>
    <r>
      <rPr>
        <sz val="10"/>
        <color theme="1"/>
        <rFont val="Arial Unicode MS"/>
      </rPr>
      <t>VTOR = 0x08008000</t>
    </r>
    <r>
      <rPr>
        <sz val="11"/>
        <color theme="1"/>
        <rFont val="Calibri"/>
        <family val="2"/>
        <scheme val="minor"/>
      </rPr>
      <t>.</t>
    </r>
  </si>
  <si>
    <r>
      <t>FLASH_BASE</t>
    </r>
    <r>
      <rPr>
        <sz val="11"/>
        <color theme="1"/>
        <rFont val="Calibri"/>
        <family val="2"/>
        <scheme val="minor"/>
      </rPr>
      <t xml:space="preserve"> had previously been changed from </t>
    </r>
    <r>
      <rPr>
        <sz val="10"/>
        <color theme="1"/>
        <rFont val="Arial Unicode MS"/>
      </rPr>
      <t>0x08000000</t>
    </r>
    <r>
      <rPr>
        <sz val="11"/>
        <color theme="1"/>
        <rFont val="Calibri"/>
        <family val="2"/>
        <scheme val="minor"/>
      </rPr>
      <t xml:space="preserve"> to </t>
    </r>
    <r>
      <rPr>
        <sz val="10"/>
        <color theme="1"/>
        <rFont val="Arial Unicode MS"/>
      </rPr>
      <t>0x08008000</t>
    </r>
    <r>
      <rPr>
        <sz val="11"/>
        <color theme="1"/>
        <rFont val="Calibri"/>
        <family val="2"/>
        <scheme val="minor"/>
      </rPr>
      <t xml:space="preserve"> during earlier bootloader practice work. This caused the application vector-table configuration to use the metadata-sector address.</t>
    </r>
  </si>
  <si>
    <t>Application handover could fail and cause MCU reset.</t>
  </si>
  <si>
    <r>
      <t xml:space="preserve">Restored </t>
    </r>
    <r>
      <rPr>
        <sz val="10"/>
        <color theme="1"/>
        <rFont val="Arial Unicode MS"/>
      </rPr>
      <t>FLASH_BASE = 0x08000000UL</t>
    </r>
    <r>
      <rPr>
        <sz val="11"/>
        <color theme="1"/>
        <rFont val="Calibri"/>
        <family val="2"/>
        <scheme val="minor"/>
      </rPr>
      <t xml:space="preserve"> and configured application vector-table relocation using </t>
    </r>
    <r>
      <rPr>
        <sz val="10"/>
        <color theme="1"/>
        <rFont val="Arial Unicode MS"/>
      </rPr>
      <t>USER_VECT_TAB_ADDRESS</t>
    </r>
    <r>
      <rPr>
        <sz val="11"/>
        <color theme="1"/>
        <rFont val="Calibri"/>
        <family val="2"/>
        <scheme val="minor"/>
      </rPr>
      <t xml:space="preserve"> with </t>
    </r>
    <r>
      <rPr>
        <sz val="10"/>
        <color theme="1"/>
        <rFont val="Arial Unicode MS"/>
      </rPr>
      <t>VECT_TAB_OFFSET = 0x0000C000U</t>
    </r>
    <r>
      <rPr>
        <sz val="11"/>
        <color theme="1"/>
        <rFont val="Calibri"/>
        <family val="2"/>
        <scheme val="minor"/>
      </rPr>
      <t>.</t>
    </r>
  </si>
  <si>
    <r>
      <t xml:space="preserve">PASS — Application runs normally; </t>
    </r>
    <r>
      <rPr>
        <sz val="10"/>
        <color theme="1"/>
        <rFont val="Arial Unicode MS"/>
      </rPr>
      <t>VTOR = 0x0800C000</t>
    </r>
    <r>
      <rPr>
        <sz val="11"/>
        <color theme="1"/>
        <rFont val="Calibri"/>
        <family val="2"/>
        <scheme val="minor"/>
      </rPr>
      <t xml:space="preserve">, </t>
    </r>
    <r>
      <rPr>
        <sz val="10"/>
        <color theme="1"/>
        <rFont val="Arial Unicode MS"/>
      </rPr>
      <t>HFSR = 0</t>
    </r>
    <r>
      <rPr>
        <sz val="11"/>
        <color theme="1"/>
        <rFont val="Calibri"/>
        <family val="2"/>
        <scheme val="minor"/>
      </rPr>
      <t xml:space="preserve">, </t>
    </r>
    <r>
      <rPr>
        <sz val="10"/>
        <color theme="1"/>
        <rFont val="Arial Unicode MS"/>
      </rPr>
      <t>CFSR = 0</t>
    </r>
    <r>
      <rPr>
        <sz val="11"/>
        <color theme="1"/>
        <rFont val="Calibri"/>
        <family val="2"/>
        <scheme val="minor"/>
      </rPr>
      <t>.</t>
    </r>
  </si>
  <si>
    <r>
      <t xml:space="preserve">1. Build and flash the Bootloader and relocated Application. 
2. Run the Bootloader and allow it to jump to the Application. 
3. Inspect </t>
    </r>
    <r>
      <rPr>
        <sz val="10"/>
        <color theme="1"/>
        <rFont val="Arial Unicode MS"/>
      </rPr>
      <t>HFSR</t>
    </r>
    <r>
      <rPr>
        <sz val="11"/>
        <color theme="1"/>
        <rFont val="Calibri"/>
        <family val="2"/>
        <scheme val="minor"/>
      </rPr>
      <t xml:space="preserve">, </t>
    </r>
    <r>
      <rPr>
        <sz val="10"/>
        <color theme="1"/>
        <rFont val="Arial Unicode MS"/>
      </rPr>
      <t>CFSR</t>
    </r>
    <r>
      <rPr>
        <sz val="11"/>
        <color theme="1"/>
        <rFont val="Calibri"/>
        <family val="2"/>
        <scheme val="minor"/>
      </rPr>
      <t xml:space="preserve">, </t>
    </r>
    <r>
      <rPr>
        <sz val="10"/>
        <color theme="1"/>
        <rFont val="Arial Unicode MS"/>
      </rPr>
      <t>PC</t>
    </r>
    <r>
      <rPr>
        <sz val="11"/>
        <color theme="1"/>
        <rFont val="Calibri"/>
        <family val="2"/>
        <scheme val="minor"/>
      </rPr>
      <t xml:space="preserve">, and </t>
    </r>
    <r>
      <rPr>
        <sz val="10"/>
        <color theme="1"/>
        <rFont val="Arial Unicode MS"/>
      </rPr>
      <t>VTOR</t>
    </r>
    <r>
      <rPr>
        <sz val="11"/>
        <color theme="1"/>
        <rFont val="Calibri"/>
        <family val="2"/>
        <scheme val="minor"/>
      </rPr>
      <t xml:space="preserve"> when the fault occurs.</t>
    </r>
  </si>
  <si>
    <t>1. Execute the SHA-256 test for 0-byte input. 
2. Compare the calculated digest with the prepared reference value. 
3. Investigate the mismatch against the standard SHA-256 test vector.</t>
  </si>
  <si>
    <t>MEM-006</t>
  </si>
  <si>
    <t>Application Image Boundary and Flash Access</t>
  </si>
  <si>
    <t>Bootloader shall use the configured application image start address and actual image size to access the application firmware stored in Flash</t>
  </si>
  <si>
    <t>Verify that the bootloader accesses the complete application image using the linker-generated image information</t>
  </si>
  <si>
    <r>
      <t xml:space="preserve">Application linked at </t>
    </r>
    <r>
      <rPr>
        <sz val="10"/>
        <color theme="1"/>
        <rFont val="Arial Unicode MS"/>
      </rPr>
      <t>0x0800C000</t>
    </r>
    <r>
      <rPr>
        <sz val="11"/>
        <color theme="1"/>
        <rFont val="Calibri"/>
        <family val="2"/>
        <scheme val="minor"/>
      </rPr>
      <t xml:space="preserve">;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xml:space="preserve"> verified in </t>
    </r>
    <r>
      <rPr>
        <sz val="10"/>
        <color theme="1"/>
        <rFont val="Arial Unicode MS"/>
      </rPr>
      <t>.map</t>
    </r>
    <r>
      <rPr>
        <sz val="11"/>
        <color theme="1"/>
        <rFont val="Calibri"/>
        <family val="2"/>
        <scheme val="minor"/>
      </rPr>
      <t xml:space="preserve"> and </t>
    </r>
    <r>
      <rPr>
        <sz val="10"/>
        <color theme="1"/>
        <rFont val="Arial Unicode MS"/>
      </rPr>
      <t>.elf</t>
    </r>
    <r>
      <rPr>
        <sz val="11"/>
        <color theme="1"/>
        <rFont val="Calibri"/>
        <family val="2"/>
        <scheme val="minor"/>
      </rPr>
      <t xml:space="preserve">; </t>
    </r>
    <r>
      <rPr>
        <sz val="10"/>
        <color theme="1"/>
        <rFont val="Arial Unicode MS"/>
      </rPr>
      <t>APP_IMAGE_SIZE = 6668 bytes</t>
    </r>
    <r>
      <rPr>
        <sz val="11"/>
        <color theme="1"/>
        <rFont val="Calibri"/>
        <family val="2"/>
        <scheme val="minor"/>
      </rPr>
      <t>; application executes correctly</t>
    </r>
  </si>
  <si>
    <r>
      <t xml:space="preserve">Run the bootloader and use </t>
    </r>
    <r>
      <rPr>
        <sz val="10"/>
        <color theme="1"/>
        <rFont val="Arial Unicode MS"/>
      </rPr>
      <t>APP_IMAGE_START</t>
    </r>
    <r>
      <rPr>
        <sz val="11"/>
        <color theme="1"/>
        <rFont val="Calibri"/>
        <family val="2"/>
        <scheme val="minor"/>
      </rPr>
      <t xml:space="preserve"> and </t>
    </r>
    <r>
      <rPr>
        <sz val="10"/>
        <color theme="1"/>
        <rFont val="Arial Unicode MS"/>
      </rPr>
      <t>APP_IMAGE_SIZE</t>
    </r>
    <r>
      <rPr>
        <sz val="11"/>
        <color theme="1"/>
        <rFont val="Calibri"/>
        <family val="2"/>
        <scheme val="minor"/>
      </rPr>
      <t xml:space="preserve"> to access the application Flash region and calculate its SHA-256 digest</t>
    </r>
  </si>
  <si>
    <r>
      <t xml:space="preserve">Bootloader shall access the intended application Flash region from </t>
    </r>
    <r>
      <rPr>
        <sz val="10"/>
        <color theme="1"/>
        <rFont val="Arial Unicode MS"/>
      </rPr>
      <t>0x0800C000</t>
    </r>
    <r>
      <rPr>
        <sz val="11"/>
        <color theme="1"/>
        <rFont val="Calibri"/>
        <family val="2"/>
        <scheme val="minor"/>
      </rPr>
      <t xml:space="preserve"> for </t>
    </r>
    <r>
      <rPr>
        <sz val="10"/>
        <color theme="1"/>
        <rFont val="Arial Unicode MS"/>
      </rPr>
      <t>6668 bytes</t>
    </r>
    <r>
      <rPr>
        <sz val="11"/>
        <color theme="1"/>
        <rFont val="Calibri"/>
        <family val="2"/>
        <scheme val="minor"/>
      </rPr>
      <t xml:space="preserve"> and complete the operation successfully</t>
    </r>
  </si>
  <si>
    <r>
      <t xml:space="preserve">Bootloader successfully accessed the application image from </t>
    </r>
    <r>
      <rPr>
        <sz val="10"/>
        <color theme="1"/>
        <rFont val="Arial Unicode MS"/>
      </rPr>
      <t>0x0800C000</t>
    </r>
    <r>
      <rPr>
        <sz val="11"/>
        <color theme="1"/>
        <rFont val="Calibri"/>
        <family val="2"/>
        <scheme val="minor"/>
      </rPr>
      <t xml:space="preserve"> for </t>
    </r>
    <r>
      <rPr>
        <sz val="10"/>
        <color theme="1"/>
        <rFont val="Arial Unicode MS"/>
      </rPr>
      <t>6668 bytes</t>
    </r>
    <r>
      <rPr>
        <sz val="11"/>
        <color theme="1"/>
        <rFont val="Calibri"/>
        <family val="2"/>
        <scheme val="minor"/>
      </rPr>
      <t xml:space="preserve"> and generated the SHA-256 digest without fault</t>
    </r>
  </si>
  <si>
    <t>MEM-006_Application_Flash_Image_Access.png</t>
  </si>
  <si>
    <t>Confirms that the linker-generated application boundaries are correctly used at runtime</t>
  </si>
  <si>
    <t>MEM-007</t>
  </si>
  <si>
    <t>Metadata Flash Sector Erase</t>
  </si>
  <si>
    <t>Bootloader shall erase the dedicated metadata sector before writing new firmware metadata</t>
  </si>
  <si>
    <t>Verify that STM32F407 Flash Sector 2 can be erased at runtime without affecting the application Flash region</t>
  </si>
  <si>
    <r>
      <t xml:space="preserve">Sector 2 reserved for metadata at </t>
    </r>
    <r>
      <rPr>
        <sz val="10"/>
        <color theme="1"/>
        <rFont val="Arial Unicode MS"/>
      </rPr>
      <t>0x08008000</t>
    </r>
    <r>
      <rPr>
        <sz val="11"/>
        <color theme="1"/>
        <rFont val="Calibri"/>
        <family val="2"/>
        <scheme val="minor"/>
      </rPr>
      <t xml:space="preserve">; </t>
    </r>
    <r>
      <rPr>
        <sz val="10"/>
        <color theme="1"/>
        <rFont val="Arial Unicode MS"/>
      </rPr>
      <t>flash_storage.c/.h</t>
    </r>
    <r>
      <rPr>
        <sz val="11"/>
        <color theme="1"/>
        <rFont val="Calibri"/>
        <family val="2"/>
        <scheme val="minor"/>
      </rPr>
      <t xml:space="preserve"> implemented; application located from </t>
    </r>
    <r>
      <rPr>
        <sz val="10"/>
        <color theme="1"/>
        <rFont val="Arial Unicode MS"/>
      </rPr>
      <t>0x0800C000</t>
    </r>
  </si>
  <si>
    <r>
      <t xml:space="preserve">Execute </t>
    </r>
    <r>
      <rPr>
        <sz val="10"/>
        <color theme="1"/>
        <rFont val="Arial Unicode MS"/>
      </rPr>
      <t>FlashStorage_EraseMetadataSector()</t>
    </r>
    <r>
      <rPr>
        <sz val="11"/>
        <color theme="1"/>
        <rFont val="Calibri"/>
        <family val="2"/>
        <scheme val="minor"/>
      </rPr>
      <t xml:space="preserve"> and inspect the contents of Sector 2 using GDB</t>
    </r>
  </si>
  <si>
    <r>
      <t xml:space="preserve">Sector 2 shall be erased and its contents shall read as </t>
    </r>
    <r>
      <rPr>
        <sz val="10"/>
        <color theme="1"/>
        <rFont val="Arial Unicode MS"/>
      </rPr>
      <t>0xFFFFFFFF</t>
    </r>
  </si>
  <si>
    <r>
      <t xml:space="preserve">Sector 2 erase completed successfully; GDB verified the metadata area from </t>
    </r>
    <r>
      <rPr>
        <sz val="10"/>
        <color theme="1"/>
        <rFont val="Arial Unicode MS"/>
      </rPr>
      <t>0x08008000</t>
    </r>
    <r>
      <rPr>
        <sz val="11"/>
        <color theme="1"/>
        <rFont val="Calibri"/>
        <family val="2"/>
        <scheme val="minor"/>
      </rPr>
      <t xml:space="preserve"> through the metadata region as </t>
    </r>
    <r>
      <rPr>
        <sz val="10"/>
        <color theme="1"/>
        <rFont val="Arial Unicode MS"/>
      </rPr>
      <t>0xFFFFFFFF</t>
    </r>
  </si>
  <si>
    <t>MEM-007_Metadata_Sector_Erase.png</t>
  </si>
  <si>
    <t>Confirms runtime Flash erase operation before metadata programming; application region remains separate</t>
  </si>
  <si>
    <t>MEM-008</t>
  </si>
  <si>
    <t>Firmware Metadata Programming</t>
  </si>
  <si>
    <t>Bootloader shall store the application image metadata in the dedicated Flash sector</t>
  </si>
  <si>
    <t>Verify that the calculated application image size and SHA-256 digest are correctly programmed into Sector 2 and can be read back from Flash</t>
  </si>
  <si>
    <r>
      <t xml:space="preserve">Sector 2 erased; application image start = </t>
    </r>
    <r>
      <rPr>
        <sz val="10"/>
        <color theme="1"/>
        <rFont val="Arial Unicode MS"/>
      </rPr>
      <t>0x0800C000</t>
    </r>
    <r>
      <rPr>
        <sz val="11"/>
        <color theme="1"/>
        <rFont val="Calibri"/>
        <family val="2"/>
        <scheme val="minor"/>
      </rPr>
      <t xml:space="preserve">; image size = </t>
    </r>
    <r>
      <rPr>
        <sz val="10"/>
        <color theme="1"/>
        <rFont val="Arial Unicode MS"/>
      </rPr>
      <t>6668 bytes</t>
    </r>
    <r>
      <rPr>
        <sz val="11"/>
        <color theme="1"/>
        <rFont val="Calibri"/>
        <family val="2"/>
        <scheme val="minor"/>
      </rPr>
      <t>; SHA-256 digest successfully calculated</t>
    </r>
  </si>
  <si>
    <r>
      <t xml:space="preserve">Create metadata in RAM, erase Sector 2, program the 44-byte metadata structure, then read the metadata back from </t>
    </r>
    <r>
      <rPr>
        <sz val="10"/>
        <color theme="1"/>
        <rFont val="Arial Unicode MS"/>
      </rPr>
      <t>0x08008000</t>
    </r>
    <r>
      <rPr>
        <sz val="11"/>
        <color theme="1"/>
        <rFont val="Calibri"/>
        <family val="2"/>
        <scheme val="minor"/>
      </rPr>
      <t xml:space="preserve"> and compare all fields with the RAM copy</t>
    </r>
  </si>
  <si>
    <t>Flash-stored metadata shall match the metadata generated by the bootloader</t>
  </si>
  <si>
    <r>
      <t>magic = 0xDEADBEEF</t>
    </r>
    <r>
      <rPr>
        <sz val="11"/>
        <color theme="1"/>
        <rFont val="Calibri"/>
        <family val="2"/>
        <scheme val="minor"/>
      </rPr>
      <t xml:space="preserve">, </t>
    </r>
    <r>
      <rPr>
        <sz val="10"/>
        <color theme="1"/>
        <rFont val="Arial Unicode MS"/>
      </rPr>
      <t>image_size = 0x1A0C</t>
    </r>
    <r>
      <rPr>
        <sz val="11"/>
        <color theme="1"/>
        <rFont val="Calibri"/>
        <family val="2"/>
        <scheme val="minor"/>
      </rPr>
      <t xml:space="preserve">, </t>
    </r>
    <r>
      <rPr>
        <sz val="10"/>
        <color theme="1"/>
        <rFont val="Arial Unicode MS"/>
      </rPr>
      <t>version = 1</t>
    </r>
    <r>
      <rPr>
        <sz val="11"/>
        <color theme="1"/>
        <rFont val="Calibri"/>
        <family val="2"/>
        <scheme val="minor"/>
      </rPr>
      <t>, and all 32 SHA-256 bytes matched the original RAM digest byte-for-byte</t>
    </r>
  </si>
  <si>
    <t>MEM-008_Metadata_Programming_Readback.png</t>
  </si>
  <si>
    <t>Confirms persistent storage of firmware metadata in dedicated Sector 2</t>
  </si>
  <si>
    <t>MEM-009</t>
  </si>
  <si>
    <t>Boot-Time Metadata Retrieval</t>
  </si>
  <si>
    <t>Bootloader shall retrieve the stored firmware reference information from the dedicated metadata Flash sector during boot</t>
  </si>
  <si>
    <t>Verify that previously stored metadata can be read from Sector 2 after MCU reset and loaded into RAM</t>
  </si>
  <si>
    <r>
      <t xml:space="preserve">Valid metadata previously programmed in Sector 2 at </t>
    </r>
    <r>
      <rPr>
        <sz val="10"/>
        <color theme="1"/>
        <rFont val="Arial Unicode MS"/>
      </rPr>
      <t>0x08008000</t>
    </r>
  </si>
  <si>
    <r>
      <t xml:space="preserve">Reset the MCU, allow the bootloader to execute </t>
    </r>
    <r>
      <rPr>
        <sz val="10"/>
        <color theme="1"/>
        <rFont val="Arial Unicode MS"/>
      </rPr>
      <t>FlashStorage_ReadMetadata()</t>
    </r>
    <r>
      <rPr>
        <sz val="11"/>
        <color theme="1"/>
        <rFont val="Calibri"/>
        <family val="2"/>
        <scheme val="minor"/>
      </rPr>
      <t>, then inspect the retrieved metadata fields using the debugger</t>
    </r>
  </si>
  <si>
    <t>Bootloader shall retrieve the stored magic, application image size, SHA-256 digest, and firmware version correctly</t>
  </si>
  <si>
    <r>
      <t>magic = 0xDEADBEEF</t>
    </r>
    <r>
      <rPr>
        <sz val="11"/>
        <color theme="1"/>
        <rFont val="Calibri"/>
        <family val="2"/>
        <scheme val="minor"/>
      </rPr>
      <t xml:space="preserve">, </t>
    </r>
    <r>
      <rPr>
        <sz val="10"/>
        <color theme="1"/>
        <rFont val="Arial Unicode MS"/>
      </rPr>
      <t>image_size = 0x00001A0C</t>
    </r>
    <r>
      <rPr>
        <sz val="11"/>
        <color theme="1"/>
        <rFont val="Calibri"/>
        <family val="2"/>
        <scheme val="minor"/>
      </rPr>
      <t xml:space="preserve"> (6668 bytes), </t>
    </r>
    <r>
      <rPr>
        <sz val="10"/>
        <color theme="1"/>
        <rFont val="Arial Unicode MS"/>
      </rPr>
      <t>version = 1</t>
    </r>
    <r>
      <rPr>
        <sz val="11"/>
        <color theme="1"/>
        <rFont val="Calibri"/>
        <family val="2"/>
        <scheme val="minor"/>
      </rPr>
      <t>, and the 32-byte SHA-256 digest matched the previously stored reference value</t>
    </r>
  </si>
  <si>
    <t>MEM-009_Boot_Metadata_Retrieval.png</t>
  </si>
  <si>
    <t>Confirms metadata persists across MCU reset and can be retrieved from Flash into RAM</t>
  </si>
  <si>
    <t>Confirms that application Flash modification is detected through SHA-256 comparison and prevents execution of a corrupted firmware image</t>
  </si>
  <si>
    <t>After intentional modification of application Flash, the bootloader recalculated the SHA-256 and the calculated digest differed from the stored reference digest; application execution was rejected</t>
  </si>
  <si>
    <t>Calculated SHA-256 shall differ from the stored reference SHA-256 and the bootloader shall reject the modified application</t>
  </si>
  <si>
    <t>Intentionally modify or corrupt application Flash contents, reset the MCU, allow the bootloader to recalculate the application SHA-256, then inspect the calculated digest and stored reference digest using the debugger</t>
  </si>
  <si>
    <t>Valid metadata previously stored in Sector 2 at 0x08008000, including the reference SHA-256 digest</t>
  </si>
  <si>
    <t>Verify that intentional corruption of application Flash results in a SHA-256 mismatch with the stored reference value</t>
  </si>
  <si>
    <t>Bootloader shall detect any modification to the application firmware by recalculating and comparing its SHA-256 digest with the stored reference digest</t>
  </si>
  <si>
    <t>Firmware Integrity Verification</t>
  </si>
  <si>
    <t>MEM-010</t>
  </si>
  <si>
    <t>Confirms successful boot-time integrity verification of an unmodified application image and correct handover to the application</t>
  </si>
  <si>
    <t>MEM-010_Firmware_Integrity_Verification_Success.png</t>
  </si>
  <si>
    <t>After MCU reset, the calculated SHA-256 matched the stored reference SHA-256; memcmp() returned 0 and the bootloader successfully jumped to the application</t>
  </si>
  <si>
    <t>Calculated SHA-256 shall match the stored reference SHA-256 and the bootloader shall accept the application and execute jump_to_application()</t>
  </si>
  <si>
    <t>Reset the MCU, allow the bootloader to calculate the SHA-256 digest of the application Flash, then compare the calculated digest with stored_metadata.sha256 using memcmp()</t>
  </si>
  <si>
    <t>Valid application firmware is programmed in Flash and its reference SHA-256 digest is stored in metadata at 0x08008000</t>
  </si>
  <si>
    <t>Verify that the bootloader successfully validates an unmodified application image after MCU reset</t>
  </si>
  <si>
    <t>Bootloader shall verify the integrity of the application firmware by comparing the calculated SHA-256 digest with the stored reference digest</t>
  </si>
  <si>
    <t>MEM-011</t>
  </si>
  <si>
    <t>MEM-011_Modified_Application_Hash.png</t>
  </si>
  <si>
    <t>Confirms that the bootloader rejects an application image exceeding the permitted Flash region before integrity verification and application handover</t>
  </si>
  <si>
    <t>MEM-012_Invalid_Application_Size.png</t>
  </si>
  <si>
    <t>Bootloader shall detect the invalid image size, enter the error path, and prevent SHA-256 calculation and application execution</t>
  </si>
  <si>
    <t>Using GDB, temporarily modify stored_metadata.image_size to 0x74001, which exceeds the permitted APP_REGION_SIZE of 0x74000, then continue bootloader execution</t>
  </si>
  <si>
    <t>Valid metadata is loaded from Sector 2 and APP_REGION_SIZE is configured for the permitted application Flash region</t>
  </si>
  <si>
    <t>Verify that the bootloader detects an oversized application image and prevents further firmware verification and execution</t>
  </si>
  <si>
    <t>Bootloader shall reject an application image whose declared image size exceeds the permitted application Flash region</t>
  </si>
  <si>
    <t>Image Boundary Validation</t>
  </si>
  <si>
    <t>MEM-012</t>
  </si>
  <si>
    <t>Confirms that the bootloader verifies the metadata record before using firmware image information</t>
  </si>
  <si>
    <t>MEM-013_Invalid_Metadata_Magic.png</t>
  </si>
  <si>
    <t>Bootloader shall detect the invalid magic value, report metadata validation failure, and prevent further image verification and application execution</t>
  </si>
  <si>
    <t>Temporarily modify stored_metadata.magic to an invalid value using the debugger, then reset/continue bootloader execution and observe the metadata validation result</t>
  </si>
  <si>
    <t>Valid firmware metadata is stored in Sector 2 with magic = 0xDEADBEEF</t>
  </si>
  <si>
    <t>Bootloader shall validate the firmware metadata identifier before using metadata contents</t>
  </si>
  <si>
    <t>Metadata Validation</t>
  </si>
  <si>
    <t>Invalid magic value was detected by the bootloader; execution entered the metadata validation error path and the application was not executed</t>
  </si>
  <si>
    <t>Verify that the bootloader detects an invalid metadata magic value and rejects the metadata</t>
  </si>
  <si>
    <t>MEM-013</t>
  </si>
  <si>
    <t>GDB confirmed stored_metadata.image_size = 0x74001 and APP_REGION_SIZE = 0x74000; the boundary check evaluated true and execution entered the Invalid Application Image Size error path</t>
  </si>
  <si>
    <t>DIF-001</t>
  </si>
  <si>
    <t>Active Image Relocation</t>
  </si>
  <si>
    <r>
      <t xml:space="preserve">Active application shall be located at the Sector 5 start address </t>
    </r>
    <r>
      <rPr>
        <sz val="10"/>
        <color theme="1"/>
        <rFont val="Arial Unicode MS"/>
      </rPr>
      <t>0x08020000</t>
    </r>
    <r>
      <rPr>
        <sz val="11"/>
        <color theme="1"/>
        <rFont val="Calibri"/>
        <family val="2"/>
        <scheme val="minor"/>
      </rPr>
      <t>.</t>
    </r>
  </si>
  <si>
    <t>Verify that the application is correctly relocated from Sector 3 to Sector 5 and executes successfully.</t>
  </si>
  <si>
    <r>
      <t xml:space="preserve">Application linker configured with Flash origin </t>
    </r>
    <r>
      <rPr>
        <sz val="10"/>
        <color theme="1"/>
        <rFont val="Arial Unicode MS"/>
      </rPr>
      <t>0x08020000</t>
    </r>
    <r>
      <rPr>
        <sz val="11"/>
        <color theme="1"/>
        <rFont val="Calibri"/>
        <family val="2"/>
        <scheme val="minor"/>
      </rPr>
      <t xml:space="preserve">; </t>
    </r>
    <r>
      <rPr>
        <sz val="10"/>
        <color theme="1"/>
        <rFont val="Arial Unicode MS"/>
      </rPr>
      <t>VECT_TAB_OFFSET</t>
    </r>
    <r>
      <rPr>
        <sz val="11"/>
        <color theme="1"/>
        <rFont val="Calibri"/>
        <family val="2"/>
        <scheme val="minor"/>
      </rPr>
      <t xml:space="preserve"> configured as </t>
    </r>
    <r>
      <rPr>
        <sz val="10"/>
        <color theme="1"/>
        <rFont val="Arial Unicode MS"/>
      </rPr>
      <t>0x00020000U</t>
    </r>
    <r>
      <rPr>
        <sz val="11"/>
        <color theme="1"/>
        <rFont val="Calibri"/>
        <family val="2"/>
        <scheme val="minor"/>
      </rPr>
      <t>.</t>
    </r>
  </si>
  <si>
    <r>
      <t>.isr_vector</t>
    </r>
    <r>
      <rPr>
        <sz val="11"/>
        <color theme="1"/>
        <rFont val="Calibri"/>
        <family val="2"/>
        <scheme val="minor"/>
      </rPr>
      <t xml:space="preserve"> starts at </t>
    </r>
    <r>
      <rPr>
        <sz val="10"/>
        <color theme="1"/>
        <rFont val="Arial Unicode MS"/>
      </rPr>
      <t>0x08020000</t>
    </r>
    <r>
      <rPr>
        <sz val="11"/>
        <color theme="1"/>
        <rFont val="Calibri"/>
        <family val="2"/>
        <scheme val="minor"/>
      </rPr>
      <t>; application is successfully flashed and executes normally after reset.</t>
    </r>
  </si>
  <si>
    <r>
      <t>.isr_vector</t>
    </r>
    <r>
      <rPr>
        <sz val="11"/>
        <color theme="1"/>
        <rFont val="Calibri"/>
        <family val="2"/>
        <scheme val="minor"/>
      </rPr>
      <t xml:space="preserve"> located at </t>
    </r>
    <r>
      <rPr>
        <sz val="10"/>
        <color theme="1"/>
        <rFont val="Arial Unicode MS"/>
      </rPr>
      <t>0x08020000</t>
    </r>
    <r>
      <rPr>
        <sz val="11"/>
        <color theme="1"/>
        <rFont val="Calibri"/>
        <family val="2"/>
        <scheme val="minor"/>
      </rPr>
      <t>; application flashed successfully and is running as expected.</t>
    </r>
  </si>
  <si>
    <t>Active application successfully relocated from Sector 3 to Sector 5.</t>
  </si>
  <si>
    <r>
      <t xml:space="preserve">1. Build the application.
2. Verify </t>
    </r>
    <r>
      <rPr>
        <sz val="10"/>
        <color theme="1"/>
        <rFont val="Arial Unicode MS"/>
      </rPr>
      <t>.isr_vector</t>
    </r>
    <r>
      <rPr>
        <sz val="11"/>
        <color theme="1"/>
        <rFont val="Calibri"/>
        <family val="2"/>
        <scheme val="minor"/>
      </rPr>
      <t xml:space="preserve"> location in the </t>
    </r>
    <r>
      <rPr>
        <sz val="10"/>
        <color theme="1"/>
        <rFont val="Arial Unicode MS"/>
      </rPr>
      <t>.map</t>
    </r>
    <r>
      <rPr>
        <sz val="11"/>
        <color theme="1"/>
        <rFont val="Calibri"/>
        <family val="2"/>
        <scheme val="minor"/>
      </rPr>
      <t xml:space="preserve"> file.
3. Flash the application.
4. Reset the MCU.
5. Verify application execution.</t>
    </r>
  </si>
  <si>
    <t>DIF-001_Active_Image_Relocation.png</t>
  </si>
  <si>
    <t>DIF-002</t>
  </si>
  <si>
    <t>Candidate Firmware Image</t>
  </si>
  <si>
    <t>Candidate application shall be configured to execute from the Sector 3–4 region and shall contain the SHA-256 implementation and a demonstrator application.</t>
  </si>
  <si>
    <t>Verify that the candidate firmware is correctly linked, located, and executed from its designated Flash region.</t>
  </si>
  <si>
    <t>Candidate project created; candidate linker configured for Sector 4; SHA-256 implementation included; red LED application implemented.</t>
  </si>
  <si>
    <r>
      <t xml:space="preserve">Candidate </t>
    </r>
    <r>
      <rPr>
        <sz val="10"/>
        <color theme="1"/>
        <rFont val="Arial Unicode MS"/>
      </rPr>
      <t>.isr_vector</t>
    </r>
    <r>
      <rPr>
        <sz val="11"/>
        <color theme="1"/>
        <rFont val="Calibri"/>
        <family val="2"/>
        <scheme val="minor"/>
      </rPr>
      <t xml:space="preserve"> starts at </t>
    </r>
    <r>
      <rPr>
        <sz val="10"/>
        <color theme="1"/>
        <rFont val="Arial Unicode MS"/>
      </rPr>
      <t>0x08010000</t>
    </r>
    <r>
      <rPr>
        <sz val="11"/>
        <color theme="1"/>
        <rFont val="Calibri"/>
        <family val="2"/>
        <scheme val="minor"/>
      </rPr>
      <t xml:space="preserve">; VTOR points to </t>
    </r>
    <r>
      <rPr>
        <sz val="10"/>
        <color theme="1"/>
        <rFont val="Arial Unicode MS"/>
      </rPr>
      <t>0x08010000</t>
    </r>
    <r>
      <rPr>
        <sz val="11"/>
        <color theme="1"/>
        <rFont val="Calibri"/>
        <family val="2"/>
        <scheme val="minor"/>
      </rPr>
      <t>; candidate firmware executes successfully; red LED toggles; SHA-256 implementation is included.</t>
    </r>
  </si>
  <si>
    <r>
      <t xml:space="preserve">Candidate project created; red LED is glowing. VTOR currently observed at </t>
    </r>
    <r>
      <rPr>
        <sz val="10"/>
        <color theme="1"/>
        <rFont val="Arial Unicode MS"/>
      </rPr>
      <t>0x08020000</t>
    </r>
    <r>
      <rPr>
        <sz val="11"/>
        <color theme="1"/>
        <rFont val="Calibri"/>
        <family val="2"/>
        <scheme val="minor"/>
      </rPr>
      <t>, indicating the vector-table offset still requires correction.</t>
    </r>
  </si>
  <si>
    <t>Initial validation revealed that the candidate project retained the Active Application's vector-table offset. Correct offset and repeat validation before marking PASS.</t>
  </si>
  <si>
    <r>
      <t xml:space="preserve">1. Configure candidate linker Flash origin as </t>
    </r>
    <r>
      <rPr>
        <sz val="10"/>
        <color theme="1"/>
        <rFont val="Arial Unicode MS"/>
      </rPr>
      <t>0x08010000</t>
    </r>
    <r>
      <rPr>
        <sz val="11"/>
        <color theme="1"/>
        <rFont val="Calibri"/>
        <family val="2"/>
        <scheme val="minor"/>
      </rPr>
      <t xml:space="preserve"> with length </t>
    </r>
    <r>
      <rPr>
        <sz val="10"/>
        <color theme="1"/>
        <rFont val="Arial Unicode MS"/>
      </rPr>
      <t>64K</t>
    </r>
    <r>
      <rPr>
        <sz val="11"/>
        <color theme="1"/>
        <rFont val="Calibri"/>
        <family val="2"/>
        <scheme val="minor"/>
      </rPr>
      <t xml:space="preserve">.
2. Configure </t>
    </r>
    <r>
      <rPr>
        <sz val="10"/>
        <color theme="1"/>
        <rFont val="Arial Unicode MS"/>
      </rPr>
      <t>VECT_TAB_OFFSET</t>
    </r>
    <r>
      <rPr>
        <sz val="11"/>
        <color theme="1"/>
        <rFont val="Calibri"/>
        <family val="2"/>
        <scheme val="minor"/>
      </rPr>
      <t xml:space="preserve"> as </t>
    </r>
    <r>
      <rPr>
        <sz val="10"/>
        <color theme="1"/>
        <rFont val="Arial Unicode MS"/>
      </rPr>
      <t>0x00010000U</t>
    </r>
    <r>
      <rPr>
        <sz val="11"/>
        <color theme="1"/>
        <rFont val="Calibri"/>
        <family val="2"/>
        <scheme val="minor"/>
      </rPr>
      <t xml:space="preserve">.
3. Build the candidate application.
4. Verify </t>
    </r>
    <r>
      <rPr>
        <sz val="10"/>
        <color theme="1"/>
        <rFont val="Arial Unicode MS"/>
      </rPr>
      <t>.isr_vector</t>
    </r>
    <r>
      <rPr>
        <sz val="11"/>
        <color theme="1"/>
        <rFont val="Calibri"/>
        <family val="2"/>
        <scheme val="minor"/>
      </rPr>
      <t xml:space="preserve"> location in the </t>
    </r>
    <r>
      <rPr>
        <sz val="10"/>
        <color theme="1"/>
        <rFont val="Arial Unicode MS"/>
      </rPr>
      <t>.map</t>
    </r>
    <r>
      <rPr>
        <sz val="11"/>
        <color theme="1"/>
        <rFont val="Calibri"/>
        <family val="2"/>
        <scheme val="minor"/>
      </rPr>
      <t xml:space="preserve"> file.
5. Flash candidate firmware.
6. Verify VTOR points to </t>
    </r>
    <r>
      <rPr>
        <sz val="10"/>
        <color theme="1"/>
        <rFont val="Arial Unicode MS"/>
      </rPr>
      <t>0x08010000</t>
    </r>
    <r>
      <rPr>
        <sz val="11"/>
        <color theme="1"/>
        <rFont val="Calibri"/>
        <family val="2"/>
        <scheme val="minor"/>
      </rPr>
      <t>.
7. Verify red LED toggles.
8. Confirm SHA-256 implementation is included in the build.</t>
    </r>
  </si>
  <si>
    <t>Candidate application shall be configured to execute from the Sector 3–4 region and shall contain the SHA-256 implementation and a simple demonstrator application.</t>
  </si>
  <si>
    <t>Verify that the candidate firmware is built and executed from the candidate region, contains the SHA-256 implementation, and can calculate a consistent firmware digest.</t>
  </si>
  <si>
    <r>
      <t xml:space="preserve">Candidate project configured for Sector 4; vector table configured for </t>
    </r>
    <r>
      <rPr>
        <sz val="10"/>
        <color theme="1"/>
        <rFont val="Arial Unicode MS"/>
      </rPr>
      <t>0x08010000</t>
    </r>
    <r>
      <rPr>
        <sz val="11"/>
        <color theme="1"/>
        <rFont val="Calibri"/>
        <family val="2"/>
        <scheme val="minor"/>
      </rPr>
      <t>; SHA-256 module integrated; red LED demonstrator implemented.</t>
    </r>
  </si>
  <si>
    <t>Candidate application executes successfully; red LED toggles; SHA-256 calculation completes; repeated calculations produce the same digest.</t>
  </si>
  <si>
    <t>Candidate application built and executed successfully. Red LED toggled. SHA-256 digest was calculated successfully and the same digest was obtained in two separate checks.</t>
  </si>
  <si>
    <t>Candidate firmware successfully established as a separate firmware image with integrated SHA-256 functionality.</t>
  </si>
  <si>
    <t>DIF-003_Candidate_Firmware_SHA256.png</t>
  </si>
  <si>
    <t>Candidate Firmware Image initial validation</t>
  </si>
  <si>
    <t>DIF-002_Candidate_Firmware_Image_Initial_Validation.png</t>
  </si>
  <si>
    <t>DIF-003</t>
  </si>
  <si>
    <t>DIF-004</t>
  </si>
  <si>
    <t>Candidate Firmware Metadata</t>
  </si>
  <si>
    <t>Candidate metadata shall store image size, version, reference SHA-256 digest, and update state in the designated Candidate Metadata region.</t>
  </si>
  <si>
    <r>
      <t xml:space="preserve">Verify that candidate metadata is correctly formatted and stored in Sector 3 at </t>
    </r>
    <r>
      <rPr>
        <sz val="10"/>
        <color theme="1"/>
        <rFont val="Arial Unicode MS"/>
      </rPr>
      <t>0x0800C000</t>
    </r>
    <r>
      <rPr>
        <sz val="11"/>
        <color theme="1"/>
        <rFont val="Calibri"/>
        <family val="2"/>
        <scheme val="minor"/>
      </rPr>
      <t>.</t>
    </r>
  </si>
  <si>
    <t>Candidate firmware is configured for Sector 4; SHA-256 calculation is working; Candidate Metadata is configured for Sector 3.</t>
  </si>
  <si>
    <r>
      <t xml:space="preserve">Metadata is stored at </t>
    </r>
    <r>
      <rPr>
        <sz val="10"/>
        <color theme="1"/>
        <rFont val="Arial Unicode MS"/>
      </rPr>
      <t>0x0800C000</t>
    </r>
    <r>
      <rPr>
        <sz val="11"/>
        <color theme="1"/>
        <rFont val="Calibri"/>
        <family val="2"/>
        <scheme val="minor"/>
      </rPr>
      <t xml:space="preserve">; </t>
    </r>
    <r>
      <rPr>
        <sz val="10"/>
        <color theme="1"/>
        <rFont val="Arial Unicode MS"/>
      </rPr>
      <t>magic = 0xDEADBEEF</t>
    </r>
    <r>
      <rPr>
        <sz val="11"/>
        <color theme="1"/>
        <rFont val="Calibri"/>
        <family val="2"/>
        <scheme val="minor"/>
      </rPr>
      <t xml:space="preserve">; image size matches the candidate image; version is </t>
    </r>
    <r>
      <rPr>
        <sz val="10"/>
        <color theme="1"/>
        <rFont val="Arial Unicode MS"/>
      </rPr>
      <t>1</t>
    </r>
    <r>
      <rPr>
        <sz val="11"/>
        <color theme="1"/>
        <rFont val="Calibri"/>
        <family val="2"/>
        <scheme val="minor"/>
      </rPr>
      <t xml:space="preserve">; stored SHA-256 matches the calculated digest; update state is </t>
    </r>
    <r>
      <rPr>
        <sz val="10"/>
        <color theme="1"/>
        <rFont val="Arial Unicode MS"/>
      </rPr>
      <t>PENDING_VALIDATION</t>
    </r>
    <r>
      <rPr>
        <sz val="11"/>
        <color theme="1"/>
        <rFont val="Calibri"/>
        <family val="2"/>
        <scheme val="minor"/>
      </rPr>
      <t>.</t>
    </r>
  </si>
  <si>
    <r>
      <t xml:space="preserve">GDB confirmed metadata at </t>
    </r>
    <r>
      <rPr>
        <sz val="10"/>
        <color theme="1"/>
        <rFont val="Arial Unicode MS"/>
      </rPr>
      <t>0x0800C000</t>
    </r>
    <r>
      <rPr>
        <sz val="11"/>
        <color theme="1"/>
        <rFont val="Calibri"/>
        <family val="2"/>
        <scheme val="minor"/>
      </rPr>
      <t xml:space="preserve">: </t>
    </r>
    <r>
      <rPr>
        <sz val="10"/>
        <color theme="1"/>
        <rFont val="Arial Unicode MS"/>
      </rPr>
      <t>magic = 0xDEADBEEF</t>
    </r>
    <r>
      <rPr>
        <sz val="11"/>
        <color theme="1"/>
        <rFont val="Calibri"/>
        <family val="2"/>
        <scheme val="minor"/>
      </rPr>
      <t xml:space="preserve">, </t>
    </r>
    <r>
      <rPr>
        <sz val="10"/>
        <color theme="1"/>
        <rFont val="Arial Unicode MS"/>
      </rPr>
      <t>image_size = 0x28EC</t>
    </r>
    <r>
      <rPr>
        <sz val="11"/>
        <color theme="1"/>
        <rFont val="Calibri"/>
        <family val="2"/>
        <scheme val="minor"/>
      </rPr>
      <t xml:space="preserve"> (10,476 bytes), </t>
    </r>
    <r>
      <rPr>
        <sz val="10"/>
        <color theme="1"/>
        <rFont val="Arial Unicode MS"/>
      </rPr>
      <t>version = 1</t>
    </r>
    <r>
      <rPr>
        <sz val="11"/>
        <color theme="1"/>
        <rFont val="Calibri"/>
        <family val="2"/>
        <scheme val="minor"/>
      </rPr>
      <t xml:space="preserve">, SHA-256 matches the calculated digest, and </t>
    </r>
    <r>
      <rPr>
        <sz val="10"/>
        <color theme="1"/>
        <rFont val="Arial Unicode MS"/>
      </rPr>
      <t>update_state = 1</t>
    </r>
    <r>
      <rPr>
        <sz val="11"/>
        <color theme="1"/>
        <rFont val="Calibri"/>
        <family val="2"/>
        <scheme val="minor"/>
      </rPr>
      <t xml:space="preserve"> (</t>
    </r>
    <r>
      <rPr>
        <sz val="10"/>
        <color theme="1"/>
        <rFont val="Arial Unicode MS"/>
      </rPr>
      <t>PENDING_VALIDATION</t>
    </r>
    <r>
      <rPr>
        <sz val="11"/>
        <color theme="1"/>
        <rFont val="Calibri"/>
        <family val="2"/>
        <scheme val="minor"/>
      </rPr>
      <t>).</t>
    </r>
  </si>
  <si>
    <t>DIF-004_Candidate_Metadata.png</t>
  </si>
  <si>
    <t>Candidate metadata successfully stored and verified in Sector 3. Candidate image remains in Sector 4.</t>
  </si>
  <si>
    <t>DIF-005</t>
  </si>
  <si>
    <t>STM32CubeIDE / ST-LINK Debug</t>
  </si>
  <si>
    <r>
      <t xml:space="preserve">Flash programming failed during the debug launch sequence with </t>
    </r>
    <r>
      <rPr>
        <sz val="10"/>
        <color theme="1"/>
        <rFont val="Arial Unicode MS"/>
      </rPr>
      <t>Error finishing flash operation</t>
    </r>
    <r>
      <rPr>
        <sz val="11"/>
        <color theme="1"/>
        <rFont val="Calibri"/>
        <family val="2"/>
        <scheme val="minor"/>
      </rPr>
      <t>. The debugger session terminated before execution could be halted for fault analysis.</t>
    </r>
  </si>
  <si>
    <t>Firmware should be programmed successfully and the debugger session should start normally.</t>
  </si>
  <si>
    <r>
      <t xml:space="preserve">CubeIDE reported </t>
    </r>
    <r>
      <rPr>
        <sz val="10"/>
        <color theme="1"/>
        <rFont val="Arial Unicode MS"/>
      </rPr>
      <t>Error finishing flash operation</t>
    </r>
    <r>
      <rPr>
        <sz val="11"/>
        <color theme="1"/>
        <rFont val="Calibri"/>
        <family val="2"/>
        <scheme val="minor"/>
      </rPr>
      <t xml:space="preserve"> for both the current and previously working firmware. STM32CubeProgrammer successfully connected to the MCU over SWD.</t>
    </r>
  </si>
  <si>
    <t>Debug/programming session issue; the same failure with a known-working build indicates it was not caused by the latest firmware changes. Exact underlying CubeIDE/ST-LINK cause was not isolated.</t>
  </si>
  <si>
    <t>Prevented firmware programming and debugger-based fault analysis during validation.</t>
  </si>
  <si>
    <t>Re-established target connection and successfully verified MCU access using STM32CubeProgrammer.</t>
  </si>
  <si>
    <t>Target connectivity and SWD access successfully verified; firmware validation resumed.</t>
  </si>
  <si>
    <t>Active Image Verification During Normal Boot</t>
  </si>
  <si>
    <t>During normal boot, the bootloader shall read and validate Active Image metadata, calculate the SHA-256 digest over the defined Active Image region, compare it with the stored reference digest, and execute the Active Image only when verification succeeds.</t>
  </si>
  <si>
    <t>Verify that the bootloader successfully validates and executes the Active Image when the stored metadata and SHA-256 digest are valid.</t>
  </si>
  <si>
    <r>
      <t xml:space="preserve">Valid Active Image V0 is stored at </t>
    </r>
    <r>
      <rPr>
        <sz val="10"/>
        <color theme="1"/>
        <rFont val="Arial Unicode MS"/>
      </rPr>
      <t>0x08020000</t>
    </r>
    <r>
      <rPr>
        <sz val="11"/>
        <color theme="1"/>
        <rFont val="Calibri"/>
        <family val="2"/>
        <scheme val="minor"/>
      </rPr>
      <t>; valid Active metadata is stored in Sector 2; reference SHA-256 matches the current Active Image.</t>
    </r>
  </si>
  <si>
    <r>
      <t xml:space="preserve">Active metadata is accepted; calculated SHA-256 matches the stored reference digest; </t>
    </r>
    <r>
      <rPr>
        <sz val="10"/>
        <color theme="1"/>
        <rFont val="Arial Unicode MS"/>
      </rPr>
      <t>JumpToApplication()</t>
    </r>
    <r>
      <rPr>
        <sz val="11"/>
        <color theme="1"/>
        <rFont val="Calibri"/>
        <family val="2"/>
        <scheme val="minor"/>
      </rPr>
      <t xml:space="preserve"> executes successfully; </t>
    </r>
    <r>
      <rPr>
        <sz val="10"/>
        <color theme="1"/>
        <rFont val="Arial Unicode MS"/>
      </rPr>
      <t>SCB-&gt;VTOR</t>
    </r>
    <r>
      <rPr>
        <sz val="11"/>
        <color theme="1"/>
        <rFont val="Calibri"/>
        <family val="2"/>
        <scheme val="minor"/>
      </rPr>
      <t xml:space="preserve"> points to </t>
    </r>
    <r>
      <rPr>
        <sz val="10"/>
        <color theme="1"/>
        <rFont val="Arial Unicode MS"/>
      </rPr>
      <t>0x08020000</t>
    </r>
    <r>
      <rPr>
        <sz val="11"/>
        <color theme="1"/>
        <rFont val="Calibri"/>
        <family val="2"/>
        <scheme val="minor"/>
      </rPr>
      <t>; PC lies within the Active Image region.</t>
    </r>
  </si>
  <si>
    <r>
      <t xml:space="preserve">Active metadata and image boundaries were validated successfully. Calculated Active SHA-256 matched the stored reference digest. GDB confirmed </t>
    </r>
    <r>
      <rPr>
        <sz val="10"/>
        <color theme="1"/>
        <rFont val="Arial Unicode MS"/>
      </rPr>
      <t>SCB-&gt;VTOR = 0x08020000</t>
    </r>
    <r>
      <rPr>
        <sz val="11"/>
        <color theme="1"/>
        <rFont val="Calibri"/>
        <family val="2"/>
        <scheme val="minor"/>
      </rPr>
      <t xml:space="preserve"> and </t>
    </r>
    <r>
      <rPr>
        <sz val="10"/>
        <color theme="1"/>
        <rFont val="Arial Unicode MS"/>
      </rPr>
      <t>PC = 0x08020AC8</t>
    </r>
    <r>
      <rPr>
        <sz val="11"/>
        <color theme="1"/>
        <rFont val="Calibri"/>
        <family val="2"/>
        <scheme val="minor"/>
      </rPr>
      <t>; Active firmware executed successfully.</t>
    </r>
  </si>
  <si>
    <t>Confirms normal-boot integrity verification and controlled handover to the validated Active Image.</t>
  </si>
  <si>
    <t>DIF-005_Active_Image_Verification_During_Normal_Boot.png</t>
  </si>
  <si>
    <t>DIF-006</t>
  </si>
  <si>
    <t>Candidate Image SHA-256 Verification</t>
  </si>
  <si>
    <t>When a candidate image is present, the bootloader shall independently calculate the candidate image SHA-256 digest and compare it with the reference digest stored in Candidate Metadata.</t>
  </si>
  <si>
    <t>Verify that the SHA-256 digest calculated over the Candidate Image in Flash matches the reference digest stored in Sector 3 and that the Candidate Image is accepted only on a match.</t>
  </si>
  <si>
    <t>Candidate firmware V1 is stored in Sector 4; Candidate Metadata is stored in Sector 3; candidate metadata is valid and contains the reference SHA-256 digest.</t>
  </si>
  <si>
    <t>Candidate image boundaries are valid; calculated SHA-256 matches the reference SHA-256 stored in Candidate Metadata; Candidate Image is accepted and execution is transferred to the Candidate Image.</t>
  </si>
  <si>
    <t>Pending execution of the GDB digest comparison and final handover verification.</t>
  </si>
  <si>
    <t>Verifies the complete Candidate Image integrity-check path and confirms that metadata is not included in the SHA-256 calculation.</t>
  </si>
  <si>
    <t>DIF-006_Candidate_Image_SHA-256_Verification.png</t>
  </si>
  <si>
    <t>SHAT_Testing</t>
  </si>
  <si>
    <t>Memory_Linked_Config_Test</t>
  </si>
  <si>
    <t>Dual_Image_FOTA_Test</t>
  </si>
  <si>
    <t>FOTA-VAL-001</t>
  </si>
  <si>
    <t>Active Metadata Read</t>
  </si>
  <si>
    <t>FOTA-VAL-002</t>
  </si>
  <si>
    <t>FOTA-VAL-003</t>
  </si>
  <si>
    <t>Active Metadata Validation</t>
  </si>
  <si>
    <t>FOTA-VAL-004</t>
  </si>
  <si>
    <t>FOTA-VAL-005</t>
  </si>
  <si>
    <t>FOTA-VAL-006</t>
  </si>
  <si>
    <t>FOTA-VAL-007</t>
  </si>
  <si>
    <t>Candidate Metadata Validation</t>
  </si>
  <si>
    <t>FOTA-VAL-008</t>
  </si>
  <si>
    <t>Candidate Version Check</t>
  </si>
  <si>
    <t>FOTA-VAL-009</t>
  </si>
  <si>
    <t>Candidate SHA-256 Verification</t>
  </si>
  <si>
    <t>FOTA-VAL-010</t>
  </si>
  <si>
    <t>FOTA-VAL-011</t>
  </si>
  <si>
    <t>Active SHA-256 Verification</t>
  </si>
  <si>
    <t>FOTA-VAL-012</t>
  </si>
  <si>
    <t>FOTA Boot Flow Validation</t>
  </si>
  <si>
    <t>Bootloader shall successfully read active image metadata.</t>
  </si>
  <si>
    <r>
      <t xml:space="preserve">Verify </t>
    </r>
    <r>
      <rPr>
        <sz val="10"/>
        <color theme="1"/>
        <rFont val="Arial Unicode MS"/>
      </rPr>
      <t>FlashStorage_ReadMetadata()</t>
    </r>
    <r>
      <rPr>
        <sz val="11"/>
        <color theme="1"/>
        <rFont val="Calibri"/>
        <family val="2"/>
        <scheme val="minor"/>
      </rPr>
      <t xml:space="preserve"> returns </t>
    </r>
    <r>
      <rPr>
        <sz val="10"/>
        <color theme="1"/>
        <rFont val="Arial Unicode MS"/>
      </rPr>
      <t>HAL_OK</t>
    </r>
    <r>
      <rPr>
        <sz val="11"/>
        <color theme="1"/>
        <rFont val="Calibri"/>
        <family val="2"/>
        <scheme val="minor"/>
      </rPr>
      <t>.</t>
    </r>
  </si>
  <si>
    <r>
      <t xml:space="preserve">Valid active metadata programmed at </t>
    </r>
    <r>
      <rPr>
        <sz val="10"/>
        <color theme="1"/>
        <rFont val="Arial Unicode MS"/>
      </rPr>
      <t>FLASH_ACTIVE_METADATA_ADDRESS</t>
    </r>
    <r>
      <rPr>
        <sz val="11"/>
        <color theme="1"/>
        <rFont val="Calibri"/>
        <family val="2"/>
        <scheme val="minor"/>
      </rPr>
      <t>; valid active/candidate firmware available.</t>
    </r>
  </si>
  <si>
    <r>
      <t xml:space="preserve">Run the normal build. Set GDB breakpoint immediately after active metadata read and inspect </t>
    </r>
    <r>
      <rPr>
        <sz val="10"/>
        <color theme="1"/>
        <rFont val="Arial Unicode MS"/>
      </rPr>
      <t>status</t>
    </r>
    <r>
      <rPr>
        <sz val="11"/>
        <color theme="1"/>
        <rFont val="Calibri"/>
        <family val="2"/>
        <scheme val="minor"/>
      </rPr>
      <t>.</t>
    </r>
  </si>
  <si>
    <r>
      <t>status == HAL_OK</t>
    </r>
    <r>
      <rPr>
        <sz val="11"/>
        <color theme="1"/>
        <rFont val="Calibri"/>
        <family val="2"/>
        <scheme val="minor"/>
      </rPr>
      <t>; execution continues to active metadata validation; no fail-safe is entered.</t>
    </r>
  </si>
  <si>
    <t>Baseline successful read condition.</t>
  </si>
  <si>
    <t>Bootloader shall enter fail-safe when active metadata read fails.</t>
  </si>
  <si>
    <r>
      <t xml:space="preserve">Verify </t>
    </r>
    <r>
      <rPr>
        <sz val="10"/>
        <color theme="1"/>
        <rFont val="Arial Unicode MS"/>
      </rPr>
      <t>status != HAL_OK</t>
    </r>
    <r>
      <rPr>
        <sz val="11"/>
        <color theme="1"/>
        <rFont val="Calibri"/>
        <family val="2"/>
        <scheme val="minor"/>
      </rPr>
      <t xml:space="preserve"> path.</t>
    </r>
  </si>
  <si>
    <t>Same baseline configuration.</t>
  </si>
  <si>
    <r>
      <t xml:space="preserve">Set GDB breakpoint after </t>
    </r>
    <r>
      <rPr>
        <sz val="10"/>
        <color theme="1"/>
        <rFont val="Arial Unicode MS"/>
      </rPr>
      <t>FlashStorage_ReadMetadata()</t>
    </r>
    <r>
      <rPr>
        <sz val="11"/>
        <color theme="1"/>
        <rFont val="Calibri"/>
        <family val="2"/>
        <scheme val="minor"/>
      </rPr>
      <t xml:space="preserve">. Modify </t>
    </r>
    <r>
      <rPr>
        <sz val="10"/>
        <color theme="1"/>
        <rFont val="Arial Unicode MS"/>
      </rPr>
      <t>status</t>
    </r>
    <r>
      <rPr>
        <sz val="11"/>
        <color theme="1"/>
        <rFont val="Calibri"/>
        <family val="2"/>
        <scheme val="minor"/>
      </rPr>
      <t xml:space="preserve"> to </t>
    </r>
    <r>
      <rPr>
        <sz val="10"/>
        <color theme="1"/>
        <rFont val="Arial Unicode MS"/>
      </rPr>
      <t>HAL_ERROR</t>
    </r>
    <r>
      <rPr>
        <sz val="11"/>
        <color theme="1"/>
        <rFont val="Calibri"/>
        <family val="2"/>
        <scheme val="minor"/>
      </rPr>
      <t xml:space="preserve"> in GDB and continue execution.</t>
    </r>
  </si>
  <si>
    <r>
      <t>status != HAL_OK</t>
    </r>
    <r>
      <rPr>
        <sz val="11"/>
        <color theme="1"/>
        <rFont val="Calibri"/>
        <family val="2"/>
        <scheme val="minor"/>
      </rPr>
      <t xml:space="preserve">; execution enters </t>
    </r>
    <r>
      <rPr>
        <sz val="10"/>
        <color theme="1"/>
        <rFont val="Arial Unicode MS"/>
      </rPr>
      <t>Bootloader_FailSafe()</t>
    </r>
    <r>
      <rPr>
        <sz val="11"/>
        <color theme="1"/>
        <rFont val="Calibri"/>
        <family val="2"/>
        <scheme val="minor"/>
      </rPr>
      <t>.</t>
    </r>
  </si>
  <si>
    <t>GDB-controlled failure injection.</t>
  </si>
  <si>
    <t>Bootloader shall reject invalid active metadata.</t>
  </si>
  <si>
    <r>
      <t xml:space="preserve">Verify </t>
    </r>
    <r>
      <rPr>
        <sz val="10"/>
        <color theme="1"/>
        <rFont val="Arial Unicode MS"/>
      </rPr>
      <t>Metadata_Validate()</t>
    </r>
    <r>
      <rPr>
        <sz val="11"/>
        <color theme="1"/>
        <rFont val="Calibri"/>
        <family val="2"/>
        <scheme val="minor"/>
      </rPr>
      <t xml:space="preserve"> failure path.</t>
    </r>
  </si>
  <si>
    <t>Active metadata can be read successfully but contains an invalid field.</t>
  </si>
  <si>
    <r>
      <t xml:space="preserve">Run with valid read status. Modify an active metadata field to an invalid value and inspect the return value of </t>
    </r>
    <r>
      <rPr>
        <sz val="10"/>
        <color theme="1"/>
        <rFont val="Arial Unicode MS"/>
      </rPr>
      <t>Metadata_Validate()</t>
    </r>
    <r>
      <rPr>
        <sz val="11"/>
        <color theme="1"/>
        <rFont val="Calibri"/>
        <family val="2"/>
        <scheme val="minor"/>
      </rPr>
      <t xml:space="preserve"> in GDB.</t>
    </r>
  </si>
  <si>
    <r>
      <t>Metadata_Validate()</t>
    </r>
    <r>
      <rPr>
        <sz val="11"/>
        <color theme="1"/>
        <rFont val="Calibri"/>
        <family val="2"/>
        <scheme val="minor"/>
      </rPr>
      <t xml:space="preserve"> returns false; execution enters </t>
    </r>
    <r>
      <rPr>
        <sz val="10"/>
        <color theme="1"/>
        <rFont val="Arial Unicode MS"/>
      </rPr>
      <t>Bootloader_FailSafe()</t>
    </r>
    <r>
      <rPr>
        <sz val="11"/>
        <color theme="1"/>
        <rFont val="Calibri"/>
        <family val="2"/>
        <scheme val="minor"/>
      </rPr>
      <t>.</t>
    </r>
  </si>
  <si>
    <t>Tests invalid active metadata.</t>
  </si>
  <si>
    <t>Bootloader shall continue when active metadata is valid.</t>
  </si>
  <si>
    <t>Verify successful active metadata validation.</t>
  </si>
  <si>
    <t>Valid active metadata.</t>
  </si>
  <si>
    <r>
      <t xml:space="preserve">During the baseline run, set GDB breakpoint after </t>
    </r>
    <r>
      <rPr>
        <sz val="10"/>
        <color theme="1"/>
        <rFont val="Arial Unicode MS"/>
      </rPr>
      <t>Metadata_Validate()</t>
    </r>
    <r>
      <rPr>
        <sz val="11"/>
        <color theme="1"/>
        <rFont val="Calibri"/>
        <family val="2"/>
        <scheme val="minor"/>
      </rPr>
      <t xml:space="preserve"> and inspect the return value.</t>
    </r>
  </si>
  <si>
    <r>
      <t>Metadata_Validate()</t>
    </r>
    <r>
      <rPr>
        <sz val="11"/>
        <color theme="1"/>
        <rFont val="Calibri"/>
        <family val="2"/>
        <scheme val="minor"/>
      </rPr>
      <t xml:space="preserve"> returns true; execution continues to candidate metadata processing.</t>
    </r>
  </si>
  <si>
    <t>Baseline successful validation condition.</t>
  </si>
  <si>
    <t>Candidate Metadata Read</t>
  </si>
  <si>
    <t>Bootloader shall continue with active-image fallback when candidate metadata cannot be read.</t>
  </si>
  <si>
    <t>Verify candidate metadata read failure path.</t>
  </si>
  <si>
    <t>Active metadata valid; candidate read operation reached.</t>
  </si>
  <si>
    <r>
      <t xml:space="preserve">Set GDB breakpoint after candidate </t>
    </r>
    <r>
      <rPr>
        <sz val="10"/>
        <color theme="1"/>
        <rFont val="Arial Unicode MS"/>
      </rPr>
      <t>FlashStorage_ReadMetadata()</t>
    </r>
    <r>
      <rPr>
        <sz val="11"/>
        <color theme="1"/>
        <rFont val="Calibri"/>
        <family val="2"/>
        <scheme val="minor"/>
      </rPr>
      <t xml:space="preserve">. Modify </t>
    </r>
    <r>
      <rPr>
        <sz val="10"/>
        <color theme="1"/>
        <rFont val="Arial Unicode MS"/>
      </rPr>
      <t>status</t>
    </r>
    <r>
      <rPr>
        <sz val="11"/>
        <color theme="1"/>
        <rFont val="Calibri"/>
        <family val="2"/>
        <scheme val="minor"/>
      </rPr>
      <t xml:space="preserve"> to </t>
    </r>
    <r>
      <rPr>
        <sz val="10"/>
        <color theme="1"/>
        <rFont val="Arial Unicode MS"/>
      </rPr>
      <t>HAL_ERROR</t>
    </r>
    <r>
      <rPr>
        <sz val="11"/>
        <color theme="1"/>
        <rFont val="Calibri"/>
        <family val="2"/>
        <scheme val="minor"/>
      </rPr>
      <t xml:space="preserve"> and continue.</t>
    </r>
  </si>
  <si>
    <r>
      <t>status != HAL_OK</t>
    </r>
    <r>
      <rPr>
        <sz val="11"/>
        <color theme="1"/>
        <rFont val="Calibri"/>
        <family val="2"/>
        <scheme val="minor"/>
      </rPr>
      <t xml:space="preserve">; </t>
    </r>
    <r>
      <rPr>
        <sz val="10"/>
        <color theme="1"/>
        <rFont val="Arial Unicode MS"/>
      </rPr>
      <t>candidate_metadata_valid</t>
    </r>
    <r>
      <rPr>
        <sz val="11"/>
        <color theme="1"/>
        <rFont val="Calibri"/>
        <family val="2"/>
        <scheme val="minor"/>
      </rPr>
      <t xml:space="preserve"> becomes false; candidate image is not processed; execution continues to active-image verification.</t>
    </r>
  </si>
  <si>
    <t>Bootloader shall accept valid candidate metadata for further processing.</t>
  </si>
  <si>
    <t>Verify successful candidate metadata read and validation.</t>
  </si>
  <si>
    <t>Valid active and candidate metadata; candidate version newer than active.</t>
  </si>
  <si>
    <r>
      <t xml:space="preserve">During the baseline run, inspect </t>
    </r>
    <r>
      <rPr>
        <sz val="10"/>
        <color theme="1"/>
        <rFont val="Arial Unicode MS"/>
      </rPr>
      <t>status</t>
    </r>
    <r>
      <rPr>
        <sz val="11"/>
        <color theme="1"/>
        <rFont val="Calibri"/>
        <family val="2"/>
        <scheme val="minor"/>
      </rPr>
      <t xml:space="preserve">, </t>
    </r>
    <r>
      <rPr>
        <sz val="10"/>
        <color theme="1"/>
        <rFont val="Arial Unicode MS"/>
      </rPr>
      <t>candidate_metadata_valid</t>
    </r>
    <r>
      <rPr>
        <sz val="11"/>
        <color theme="1"/>
        <rFont val="Calibri"/>
        <family val="2"/>
        <scheme val="minor"/>
      </rPr>
      <t xml:space="preserve">, and the result of </t>
    </r>
    <r>
      <rPr>
        <sz val="10"/>
        <color theme="1"/>
        <rFont val="Arial Unicode MS"/>
      </rPr>
      <t>Metadata_Validate()</t>
    </r>
    <r>
      <rPr>
        <sz val="11"/>
        <color theme="1"/>
        <rFont val="Calibri"/>
        <family val="2"/>
        <scheme val="minor"/>
      </rPr>
      <t xml:space="preserve"> in GDB.</t>
    </r>
  </si>
  <si>
    <r>
      <t xml:space="preserve">Candidate read returns </t>
    </r>
    <r>
      <rPr>
        <sz val="10"/>
        <color theme="1"/>
        <rFont val="Arial Unicode MS"/>
      </rPr>
      <t>HAL_OK</t>
    </r>
    <r>
      <rPr>
        <sz val="11"/>
        <color theme="1"/>
        <rFont val="Calibri"/>
        <family val="2"/>
        <scheme val="minor"/>
      </rPr>
      <t xml:space="preserve">; </t>
    </r>
    <r>
      <rPr>
        <sz val="10"/>
        <color theme="1"/>
        <rFont val="Arial Unicode MS"/>
      </rPr>
      <t>candidate_metadata_valid == true</t>
    </r>
    <r>
      <rPr>
        <sz val="11"/>
        <color theme="1"/>
        <rFont val="Calibri"/>
        <family val="2"/>
        <scheme val="minor"/>
      </rPr>
      <t>; execution enters candidate handling.</t>
    </r>
  </si>
  <si>
    <t>Baseline successful candidate validation condition.</t>
  </si>
  <si>
    <t>Bootloader shall reject invalid candidate metadata.</t>
  </si>
  <si>
    <r>
      <t xml:space="preserve">Verify </t>
    </r>
    <r>
      <rPr>
        <sz val="10"/>
        <color theme="1"/>
        <rFont val="Arial Unicode MS"/>
      </rPr>
      <t>!candidate_metadata_valid</t>
    </r>
    <r>
      <rPr>
        <sz val="11"/>
        <color theme="1"/>
        <rFont val="Calibri"/>
        <family val="2"/>
        <scheme val="minor"/>
      </rPr>
      <t xml:space="preserve"> path.</t>
    </r>
  </si>
  <si>
    <t>Candidate metadata is readable but contains an invalid field.</t>
  </si>
  <si>
    <r>
      <t xml:space="preserve">Keep candidate read successful. Modify/corrupt candidate metadata and inspect </t>
    </r>
    <r>
      <rPr>
        <sz val="10"/>
        <color theme="1"/>
        <rFont val="Arial Unicode MS"/>
      </rPr>
      <t>Metadata_Validate()</t>
    </r>
    <r>
      <rPr>
        <sz val="11"/>
        <color theme="1"/>
        <rFont val="Calibri"/>
        <family val="2"/>
        <scheme val="minor"/>
      </rPr>
      <t xml:space="preserve"> result in GDB.</t>
    </r>
  </si>
  <si>
    <r>
      <t xml:space="preserve">Candidate metadata validation returns false; </t>
    </r>
    <r>
      <rPr>
        <sz val="10"/>
        <color theme="1"/>
        <rFont val="Arial Unicode MS"/>
      </rPr>
      <t>candidate_metadata_valid == false</t>
    </r>
    <r>
      <rPr>
        <sz val="11"/>
        <color theme="1"/>
        <rFont val="Calibri"/>
        <family val="2"/>
        <scheme val="minor"/>
      </rPr>
      <t>; candidate processing is skipped and active-image verification continues.</t>
    </r>
  </si>
  <si>
    <t>Tests invalid candidate metadata.</t>
  </si>
  <si>
    <t>Bootloader shall not process a candidate that is not newer than the active image.</t>
  </si>
  <si>
    <r>
      <t xml:space="preserve">Verify false path of </t>
    </r>
    <r>
      <rPr>
        <sz val="10"/>
        <color theme="1"/>
        <rFont val="Arial Unicode MS"/>
      </rPr>
      <t>Metadata_IsCandidateNewer()</t>
    </r>
    <r>
      <rPr>
        <sz val="11"/>
        <color theme="1"/>
        <rFont val="Calibri"/>
        <family val="2"/>
        <scheme val="minor"/>
      </rPr>
      <t>.</t>
    </r>
  </si>
  <si>
    <t>Active and candidate metadata are both valid.</t>
  </si>
  <si>
    <t>Use a candidate image whose version is equal to or lower than the active version. Set GDB breakpoint at the version comparison and inspect the result.</t>
  </si>
  <si>
    <r>
      <t>Metadata_IsCandidateNewer()</t>
    </r>
    <r>
      <rPr>
        <sz val="11"/>
        <color theme="1"/>
        <rFont val="Calibri"/>
        <family val="2"/>
        <scheme val="minor"/>
      </rPr>
      <t xml:space="preserve"> returns false; candidate SHA-256 calculation is skipped; active-image verification continues.</t>
    </r>
  </si>
  <si>
    <t>Tests candidate-selection decision independently of SHA validation.</t>
  </si>
  <si>
    <t>Bootloader shall boot a newer candidate only when its SHA-256 matches the stored digest.</t>
  </si>
  <si>
    <t>Verify successful candidate integrity verification and candidate execution.</t>
  </si>
  <si>
    <t>Valid active metadata; valid newer candidate; candidate firmware matches stored SHA-256.</t>
  </si>
  <si>
    <r>
      <t xml:space="preserve">Use the baseline valid configuration. Set GDB breakpoint at </t>
    </r>
    <r>
      <rPr>
        <sz val="10"/>
        <color theme="1"/>
        <rFont val="Arial Unicode MS"/>
      </rPr>
      <t>ImageValidation_VerifySHA256()</t>
    </r>
    <r>
      <rPr>
        <sz val="11"/>
        <color theme="1"/>
        <rFont val="Calibri"/>
        <family val="2"/>
        <scheme val="minor"/>
      </rPr>
      <t xml:space="preserve"> and inspect the result. Continue execution.</t>
    </r>
  </si>
  <si>
    <r>
      <t xml:space="preserve">SHA verification returns true; </t>
    </r>
    <r>
      <rPr>
        <sz val="10"/>
        <color theme="1"/>
        <rFont val="Arial Unicode MS"/>
      </rPr>
      <t>JumpToApplication()</t>
    </r>
    <r>
      <rPr>
        <sz val="11"/>
        <color theme="1"/>
        <rFont val="Calibri"/>
        <family val="2"/>
        <scheme val="minor"/>
      </rPr>
      <t xml:space="preserve"> is called with candidate image; </t>
    </r>
    <r>
      <rPr>
        <b/>
        <sz val="11"/>
        <color theme="1"/>
        <rFont val="Calibri"/>
        <family val="2"/>
        <scheme val="minor"/>
      </rPr>
      <t>Red LED</t>
    </r>
    <r>
      <rPr>
        <sz val="11"/>
        <color theme="1"/>
        <rFont val="Calibri"/>
        <family val="2"/>
        <scheme val="minor"/>
      </rPr>
      <t xml:space="preserve"> indicates candidate image execution.</t>
    </r>
  </si>
  <si>
    <t>Successful candidate boot path.</t>
  </si>
  <si>
    <t>Bootloader shall reject a candidate when its SHA-256 does not match.</t>
  </si>
  <si>
    <t>Verify candidate SHA mismatch path and fallback to active image.</t>
  </si>
  <si>
    <t>Active image valid; candidate metadata valid and newer. Candidate digest must be made invalid.</t>
  </si>
  <si>
    <r>
      <t xml:space="preserve">Modify candidate firmware or stored candidate digest so verification fails. Inspect </t>
    </r>
    <r>
      <rPr>
        <sz val="10"/>
        <color theme="1"/>
        <rFont val="Arial Unicode MS"/>
      </rPr>
      <t>ImageValidation_VerifySHA256()</t>
    </r>
    <r>
      <rPr>
        <sz val="11"/>
        <color theme="1"/>
        <rFont val="Calibri"/>
        <family val="2"/>
        <scheme val="minor"/>
      </rPr>
      <t xml:space="preserve"> result in GDB and continue.</t>
    </r>
  </si>
  <si>
    <r>
      <t xml:space="preserve">SHA verification returns false; candidate is rejected; active-image SHA verification executes; </t>
    </r>
    <r>
      <rPr>
        <b/>
        <sz val="11"/>
        <color theme="1"/>
        <rFont val="Calibri"/>
        <family val="2"/>
        <scheme val="minor"/>
      </rPr>
      <t>Orange LED</t>
    </r>
    <r>
      <rPr>
        <sz val="11"/>
        <color theme="1"/>
        <rFont val="Calibri"/>
        <family val="2"/>
        <scheme val="minor"/>
      </rPr>
      <t xml:space="preserve"> indicates active image execution.</t>
    </r>
  </si>
  <si>
    <t>Candidate integrity failure with active fallback.</t>
  </si>
  <si>
    <t>Bootloader shall boot the active image when its SHA-256 matches.</t>
  </si>
  <si>
    <t>Verify successful active-image integrity verification and active execution.</t>
  </si>
  <si>
    <t>Active image valid; candidate unavailable, invalid, or not newer.</t>
  </si>
  <si>
    <r>
      <t xml:space="preserve">Set GDB breakpoint at active </t>
    </r>
    <r>
      <rPr>
        <sz val="10"/>
        <color theme="1"/>
        <rFont val="Arial Unicode MS"/>
      </rPr>
      <t>ImageValidation_VerifySHA256()</t>
    </r>
    <r>
      <rPr>
        <sz val="11"/>
        <color theme="1"/>
        <rFont val="Calibri"/>
        <family val="2"/>
        <scheme val="minor"/>
      </rPr>
      <t xml:space="preserve"> and inspect the result. Continue execution.</t>
    </r>
  </si>
  <si>
    <r>
      <t xml:space="preserve">SHA verification returns true; </t>
    </r>
    <r>
      <rPr>
        <sz val="10"/>
        <color theme="1"/>
        <rFont val="Arial Unicode MS"/>
      </rPr>
      <t>JumpToApplication()</t>
    </r>
    <r>
      <rPr>
        <sz val="11"/>
        <color theme="1"/>
        <rFont val="Calibri"/>
        <family val="2"/>
        <scheme val="minor"/>
      </rPr>
      <t xml:space="preserve"> is called for active image; </t>
    </r>
    <r>
      <rPr>
        <b/>
        <sz val="11"/>
        <color theme="1"/>
        <rFont val="Calibri"/>
        <family val="2"/>
        <scheme val="minor"/>
      </rPr>
      <t>Orange LED</t>
    </r>
    <r>
      <rPr>
        <sz val="11"/>
        <color theme="1"/>
        <rFont val="Calibri"/>
        <family val="2"/>
        <scheme val="minor"/>
      </rPr>
      <t xml:space="preserve"> indicates active image execution.</t>
    </r>
  </si>
  <si>
    <t>Successful active fallback/normal boot path.</t>
  </si>
  <si>
    <t>Bootloader shall enter fail-safe when active SHA-256 verification fails.</t>
  </si>
  <si>
    <t>Verify active integrity failure handling.</t>
  </si>
  <si>
    <t>Active metadata valid, but active firmware or stored digest is modified so SHA verification fails. Candidate must not successfully boot.</t>
  </si>
  <si>
    <r>
      <t xml:space="preserve">Modify active firmware/digest and inspect the active </t>
    </r>
    <r>
      <rPr>
        <sz val="10"/>
        <color theme="1"/>
        <rFont val="Arial Unicode MS"/>
      </rPr>
      <t>ImageValidation_VerifySHA256()</t>
    </r>
    <r>
      <rPr>
        <sz val="11"/>
        <color theme="1"/>
        <rFont val="Calibri"/>
        <family val="2"/>
        <scheme val="minor"/>
      </rPr>
      <t xml:space="preserve"> result in GDB. Continue execution.</t>
    </r>
  </si>
  <si>
    <r>
      <t xml:space="preserve">SHA verification returns false; </t>
    </r>
    <r>
      <rPr>
        <sz val="10"/>
        <color theme="1"/>
        <rFont val="Arial Unicode MS"/>
      </rPr>
      <t>Bootloader_FailSafe()</t>
    </r>
    <r>
      <rPr>
        <sz val="11"/>
        <color theme="1"/>
        <rFont val="Calibri"/>
        <family val="2"/>
        <scheme val="minor"/>
      </rPr>
      <t xml:space="preserve"> is executed; normal active/candidate application is not started.</t>
    </r>
  </si>
  <si>
    <t>Final fail-safe path.</t>
  </si>
  <si>
    <t>FOTA-VAL-001_Active_Metadata_Read.png</t>
  </si>
  <si>
    <t>FOTA-VAL-002_Active_Metadata_Read_Error.png</t>
  </si>
  <si>
    <t>FOTA-VAL-004_Active_Metadata_Validation_Pass.png</t>
  </si>
  <si>
    <t>FOTA-VAL-006_Candidate_Metadata_Validation_Pass.png</t>
  </si>
  <si>
    <t>FOTA-VAL-003_Active_Metadata_Validation_Fail.png</t>
  </si>
  <si>
    <t>FOTA-VAL-005_Candidate_Metadata_Read_Error.png</t>
  </si>
  <si>
    <t>FOTA-VAL-007_Candidate_Metadata_Validation_Fail.png</t>
  </si>
  <si>
    <t>FOTA-VAL-008_Candidate_Version_Check.png</t>
  </si>
  <si>
    <t>FOTA-VAL-009_Candidate_SHA256_Pass.png</t>
  </si>
  <si>
    <t>FOTA-VAL-010_Candidate_SHA256_Mismatch.png</t>
  </si>
  <si>
    <t>FOTA-VAL-011_Active_SHA256_Pass.png</t>
  </si>
  <si>
    <t>FOTA-VAL-012_Active_SHA256_Mismatch.png</t>
  </si>
  <si>
    <t>Commit Marker Validation</t>
  </si>
  <si>
    <t>DIF-007</t>
  </si>
  <si>
    <t>Slot A Normal Boot</t>
  </si>
  <si>
    <r>
      <t xml:space="preserve">Bootloader shall boot Slot A when Slot A metadata is valid, Slot A image is valid, and Slot A is </t>
    </r>
    <r>
      <rPr>
        <sz val="10"/>
        <color theme="1"/>
        <rFont val="Arial Unicode MS"/>
      </rPr>
      <t>CONFIRMED</t>
    </r>
    <r>
      <rPr>
        <sz val="11"/>
        <color theme="1"/>
        <rFont val="Calibri"/>
        <family val="2"/>
        <scheme val="minor"/>
      </rPr>
      <t>.</t>
    </r>
  </si>
  <si>
    <t>Verify normal boot of the confirmed Slot A firmware in the new A/B architecture.</t>
  </si>
  <si>
    <r>
      <t xml:space="preserve">Valid Slot A image at </t>
    </r>
    <r>
      <rPr>
        <sz val="10"/>
        <color theme="1"/>
        <rFont val="Arial Unicode MS"/>
      </rPr>
      <t>0x08020000</t>
    </r>
    <r>
      <rPr>
        <sz val="11"/>
        <color theme="1"/>
        <rFont val="Calibri"/>
        <family val="2"/>
        <scheme val="minor"/>
      </rPr>
      <t xml:space="preserve">; valid Slot A metadata in Sector 2; latest Slot A state = </t>
    </r>
    <r>
      <rPr>
        <sz val="10"/>
        <color theme="1"/>
        <rFont val="Arial Unicode MS"/>
      </rPr>
      <t>CONFIRMED</t>
    </r>
    <r>
      <rPr>
        <sz val="11"/>
        <color theme="1"/>
        <rFont val="Calibri"/>
        <family val="2"/>
        <scheme val="minor"/>
      </rPr>
      <t>; Slot B may be empty.</t>
    </r>
  </si>
  <si>
    <r>
      <t xml:space="preserve">Bootloader selects Slot A; metadata and SHA-256 validation succeed; </t>
    </r>
    <r>
      <rPr>
        <sz val="10"/>
        <color theme="1"/>
        <rFont val="Arial Unicode MS"/>
      </rPr>
      <t>JumpToApplication()</t>
    </r>
    <r>
      <rPr>
        <sz val="11"/>
        <color theme="1"/>
        <rFont val="Calibri"/>
        <family val="2"/>
        <scheme val="minor"/>
      </rPr>
      <t xml:space="preserve"> executes; </t>
    </r>
    <r>
      <rPr>
        <sz val="10"/>
        <color theme="1"/>
        <rFont val="Arial Unicode MS"/>
      </rPr>
      <t>SCB-&gt;VTOR</t>
    </r>
    <r>
      <rPr>
        <sz val="11"/>
        <color theme="1"/>
        <rFont val="Calibri"/>
        <family val="2"/>
        <scheme val="minor"/>
      </rPr>
      <t xml:space="preserve"> = </t>
    </r>
    <r>
      <rPr>
        <sz val="10"/>
        <color theme="1"/>
        <rFont val="Arial Unicode MS"/>
      </rPr>
      <t>0x08020000</t>
    </r>
    <r>
      <rPr>
        <sz val="11"/>
        <color theme="1"/>
        <rFont val="Calibri"/>
        <family val="2"/>
        <scheme val="minor"/>
      </rPr>
      <t>; PC lies within Slot A region; Slot A executes normally.</t>
    </r>
  </si>
  <si>
    <t>DIF-007_Slot_A_Normal_Boot.png</t>
  </si>
  <si>
    <t>First baseline test for the finalized A/B architecture.</t>
  </si>
  <si>
    <t>DIF-008</t>
  </si>
  <si>
    <t>DIF-009</t>
  </si>
  <si>
    <t>Active Slot Selection</t>
  </si>
  <si>
    <r>
      <t xml:space="preserve">Bootloader shall select the slot whose latest valid metadata state is </t>
    </r>
    <r>
      <rPr>
        <sz val="10"/>
        <color theme="1"/>
        <rFont val="Arial Unicode MS"/>
      </rPr>
      <t>CONFIRMED</t>
    </r>
    <r>
      <rPr>
        <sz val="11"/>
        <color theme="1"/>
        <rFont val="Calibri"/>
        <family val="2"/>
        <scheme val="minor"/>
      </rPr>
      <t>.</t>
    </r>
  </si>
  <si>
    <t>Verify that active-slot selection is state-driven rather than version-driven.</t>
  </si>
  <si>
    <r>
      <t xml:space="preserve">Slot A latest record = </t>
    </r>
    <r>
      <rPr>
        <sz val="10"/>
        <color theme="1"/>
        <rFont val="Arial Unicode MS"/>
      </rPr>
      <t>CONFIRMED</t>
    </r>
    <r>
      <rPr>
        <sz val="11"/>
        <color theme="1"/>
        <rFont val="Calibri"/>
        <family val="2"/>
        <scheme val="minor"/>
      </rPr>
      <t xml:space="preserve">; Slot B latest record = </t>
    </r>
    <r>
      <rPr>
        <sz val="10"/>
        <color theme="1"/>
        <rFont val="Arial Unicode MS"/>
      </rPr>
      <t>EMPTY</t>
    </r>
    <r>
      <rPr>
        <sz val="11"/>
        <color theme="1"/>
        <rFont val="Calibri"/>
        <family val="2"/>
        <scheme val="minor"/>
      </rPr>
      <t xml:space="preserve"> or no valid record.</t>
    </r>
  </si>
  <si>
    <t>Slot A is selected as active regardless of version comparison; Slot B is treated as inactive.</t>
  </si>
  <si>
    <r>
      <t xml:space="preserve">Confirms </t>
    </r>
    <r>
      <rPr>
        <sz val="10"/>
        <color theme="1"/>
        <rFont val="Arial Unicode MS"/>
      </rPr>
      <t>CONFIRMED</t>
    </r>
    <r>
      <rPr>
        <sz val="11"/>
        <color theme="1"/>
        <rFont val="Calibri"/>
        <family val="2"/>
        <scheme val="minor"/>
      </rPr>
      <t xml:space="preserve"> state is the boot-selection criterion.</t>
    </r>
  </si>
  <si>
    <t>System shall reject an incomplete metadata record when the commit marker is invalid or erased.</t>
  </si>
  <si>
    <t>Verify incomplete-record protection.</t>
  </si>
  <si>
    <t>Valid record exists or a test record is partially programmed.</t>
  </si>
  <si>
    <t>Record without the correct commit marker is ignored as invalid.</t>
  </si>
  <si>
    <t>Demonstrates commit marker being the final record-validity condition.</t>
  </si>
  <si>
    <t>Firmware Integrity / SHA-256</t>
  </si>
  <si>
    <t>Bootloader SHA-256 digest does not match the SHA-256 digest generated by the Python metadata tool for the same Slot A firmware image.</t>
  </si>
  <si>
    <t>Bootloader-calculated SHA-256 shall match the reference SHA-256 stored in metadata for the same firmware image.</t>
  </si>
  <si>
    <r>
      <t xml:space="preserve">Start address and image size are identical, but the bootloader-calculated SHA-256 differs from the Python-generated digest and bootloader enters </t>
    </r>
    <r>
      <rPr>
        <sz val="10"/>
        <color theme="1"/>
        <rFont val="Arial Unicode MS"/>
      </rPr>
      <t>Bootloader_FailSafe()</t>
    </r>
    <r>
      <rPr>
        <sz val="11"/>
        <color theme="1"/>
        <rFont val="Calibri"/>
        <family val="2"/>
        <scheme val="minor"/>
      </rPr>
      <t>.</t>
    </r>
  </si>
  <si>
    <t>Valid Slot A firmware is rejected and normal boot is prevented.</t>
  </si>
  <si>
    <t>FWI-DEF-001</t>
  </si>
  <si>
    <t>DBG-DEF-001</t>
  </si>
  <si>
    <r>
      <t xml:space="preserve">1. Launch the bootloader debug configuration in STM32CubeIDE.
2. Attempt to load </t>
    </r>
    <r>
      <rPr>
        <sz val="10"/>
        <color theme="1"/>
        <rFont val="Arial Unicode MS"/>
      </rPr>
      <t>Secure_Boot.elf</t>
    </r>
    <r>
      <rPr>
        <sz val="11"/>
        <color theme="1"/>
        <rFont val="Calibri"/>
        <family val="2"/>
        <scheme val="minor"/>
      </rPr>
      <t>.
3. Observe the Flash programming error and debugger termination.
4. Repeat using a previously known-working firmware build.
5. Connect to the target using STM32CubeProgrammer over SWD.</t>
    </r>
  </si>
  <si>
    <t>1. Build Slot A firmware. 
2. Generate Slot A metadata using Python. 
3. Compare Python SHA-256 with bootloader-calculated SHA-256 during boot. 
4. Reset MCU.</t>
  </si>
  <si>
    <t>SCB-&gt;VTOR = 0x08020000
Orange LED blinking</t>
  </si>
  <si>
    <t>1. Flash valid Slot A image. 
2. Program valid Slot A metadata. 
3. Reset MCU. 
4. Observe bootloader decision. 
5. Verify SCB-&gt;VTOR and PC using GDB. 
6. Verify Slot A application executes.</t>
  </si>
  <si>
    <r>
      <t xml:space="preserve">1. Reset the MCU.
2. Verify candidate metadata is read and validated.
3. Confirm candidate version is newer than Active version.
4. Verify Candidate Image start, image size, and calculated end address in GDB.
5. Calculate Candidate SHA-256 using the defined image range.
6. Inspect </t>
    </r>
    <r>
      <rPr>
        <sz val="10"/>
        <color theme="1"/>
        <rFont val="Arial Unicode MS"/>
      </rPr>
      <t>candidate_digest</t>
    </r>
    <r>
      <rPr>
        <sz val="11"/>
        <color theme="1"/>
        <rFont val="Calibri"/>
        <family val="2"/>
        <scheme val="minor"/>
      </rPr>
      <t xml:space="preserve"> using GDB.
7. Inspect </t>
    </r>
    <r>
      <rPr>
        <sz val="10"/>
        <color theme="1"/>
        <rFont val="Arial Unicode MS"/>
      </rPr>
      <t>candidate_metadata.sha256</t>
    </r>
    <r>
      <rPr>
        <sz val="11"/>
        <color theme="1"/>
        <rFont val="Calibri"/>
        <family val="2"/>
        <scheme val="minor"/>
      </rPr>
      <t xml:space="preserve"> from the metadata structure.
8. Compare the 32-byte calculated and stored digests.
9. Verify </t>
    </r>
    <r>
      <rPr>
        <sz val="10"/>
        <color theme="1"/>
        <rFont val="Arial Unicode MS"/>
      </rPr>
      <t>SCB-&gt;VTOR</t>
    </r>
    <r>
      <rPr>
        <sz val="11"/>
        <color theme="1"/>
        <rFont val="Calibri"/>
        <family val="2"/>
        <scheme val="minor"/>
      </rPr>
      <t xml:space="preserve"> and PC after successful handover.</t>
    </r>
  </si>
  <si>
    <t>1. Build and flash the Candidate application.
2. Allow the application to calculate the SHA-256 digest and populate metadata.
3. Read Sector 3 using GDB.
4. Verify magic, image size, version, SHA-256 digest, and update state.</t>
  </si>
  <si>
    <r>
      <t xml:space="preserve">1. Reset the MCU. 
2.Bootloader reads Active metadata, validates the metadata and image boundaries, calculates the Active Image SHA-256, compares the calculated digest with the stored reference digest, and transfers control to the Active Image. 
3. Verify </t>
    </r>
    <r>
      <rPr>
        <sz val="10"/>
        <color theme="1"/>
        <rFont val="Arial Unicode MS"/>
      </rPr>
      <t>SCB-&gt;VTOR</t>
    </r>
    <r>
      <rPr>
        <sz val="11"/>
        <color theme="1"/>
        <rFont val="Calibri"/>
        <family val="2"/>
        <scheme val="minor"/>
      </rPr>
      <t xml:space="preserve"> and PC using GDB after handover.</t>
    </r>
  </si>
  <si>
    <t>1. Reset MCU. 
2. Inspect Slot A and Slot B metadata records. 
3. Observe active-slot selection. 
4. Verify selected image and PC.</t>
  </si>
  <si>
    <t>1. Remove/corrupt the commit marker. 
2. Reset MCU. 
3. Scan metadata records.</t>
  </si>
  <si>
    <t>1. Build the Candidate application.
2. Flash the Candidate firmware.
3. Verify the application executes and red LED toggles.
4. Run the SHA-256 calculation.
5. Record the calculated digest.
6. Repeat the calculation and compare the result.</t>
  </si>
  <si>
    <t>DIF-008_Active_Slot_Selection_A.png</t>
  </si>
  <si>
    <t>DIF-009_Metadata_Commit_Marker_Corruption.png</t>
  </si>
  <si>
    <t>The raw .bin contains linker-generated padding as 0x00, while the
corresponding flash region remains erased as 0xFF.</t>
  </si>
  <si>
    <t>Updated the Python metadata-generation flow to create a flash-equivalent firmware image from the ELF using arm-none-eabi-objcopy --gap-fill=0xFF. Linker-generated gaps are now represented as 0xFF, matching erased flash. The bootloader SHA-256 implementation was left unchanged.</t>
  </si>
  <si>
    <t>SHA-256 integrity validation is now working correctly end-to-end.</t>
  </si>
  <si>
    <t xml:space="preserve">Secure Boot - Firmware Integrity Verification </t>
  </si>
  <si>
    <t>A/B Update Cycling</t>
  </si>
  <si>
    <t>FOTA-AB-001</t>
  </si>
  <si>
    <t>A → B Update</t>
  </si>
  <si>
    <t>FOTA-AB-002</t>
  </si>
  <si>
    <t>B → A Update</t>
  </si>
  <si>
    <t>FOTA-AB-003</t>
  </si>
  <si>
    <t>FOTA-AB-004</t>
  </si>
  <si>
    <t>Full A → B → A → B Cycling</t>
  </si>
  <si>
    <t>FOTA-AB-005</t>
  </si>
  <si>
    <t>Interrupted Programming</t>
  </si>
  <si>
    <t>FOTA-AB-006</t>
  </si>
  <si>
    <t>Interrupted Update</t>
  </si>
  <si>
    <t>FOTA-AB-007</t>
  </si>
  <si>
    <t>Interrupted Metadata/Commit Programming</t>
  </si>
  <si>
    <t>FOTA-AB-008</t>
  </si>
  <si>
    <t>Failed Confirmation</t>
  </si>
  <si>
    <t>FOTA-AB-009</t>
  </si>
  <si>
    <t>Watchdog Reset During Candidate Boot</t>
  </si>
  <si>
    <t>FOTA-AB-010</t>
  </si>
  <si>
    <t>Repeated Watchdog Recovery</t>
  </si>
  <si>
    <t>FOTA-AB-011</t>
  </si>
  <si>
    <t>Confirmed Image Persistence</t>
  </si>
  <si>
    <t>FOTA-AB-012</t>
  </si>
  <si>
    <t>Recovery Followed by New Update</t>
  </si>
  <si>
    <t>FOTA-AB-013</t>
  </si>
  <si>
    <t>FOTA-AB-014</t>
  </si>
  <si>
    <t>Active Slot Recovery</t>
  </si>
  <si>
    <t>FOTA-AB-015</t>
  </si>
  <si>
    <t>FOTA-AB-016</t>
  </si>
  <si>
    <t>The bootloader shall boot a valid confirmed active firmware image before an A/B update cycle is initiated.</t>
  </si>
  <si>
    <t>Establish a known-good baseline before executing A/B cycling tests.</t>
  </si>
  <si>
    <t>Power-cycle or reset the device and observe the bootloader decision and running firmware identifier.</t>
  </si>
  <si>
    <t>Baseline for subsequent tests.</t>
  </si>
  <si>
    <t>The bootloader shall support updating the device from a valid confirmed Slot A image to a valid candidate image in Slot B.</t>
  </si>
  <si>
    <t>Verify a successful update from Slot A to Slot B.</t>
  </si>
  <si>
    <r>
      <t>FW-A1</t>
    </r>
    <r>
      <rPr>
        <sz val="11"/>
        <color theme="1"/>
        <rFont val="Calibri"/>
        <family val="2"/>
        <scheme val="minor"/>
      </rPr>
      <t xml:space="preserve"> is active and confirmed; valid </t>
    </r>
    <r>
      <rPr>
        <sz val="10"/>
        <color theme="1"/>
        <rFont val="Arial Unicode MS"/>
      </rPr>
      <t>FW-B1</t>
    </r>
    <r>
      <rPr>
        <sz val="11"/>
        <color theme="1"/>
        <rFont val="Calibri"/>
        <family val="2"/>
        <scheme val="minor"/>
      </rPr>
      <t xml:space="preserve"> is available in the download/staging area.</t>
    </r>
  </si>
  <si>
    <r>
      <t xml:space="preserve">Program </t>
    </r>
    <r>
      <rPr>
        <sz val="10"/>
        <color theme="1"/>
        <rFont val="Arial Unicode MS"/>
      </rPr>
      <t>FW-B1</t>
    </r>
    <r>
      <rPr>
        <sz val="11"/>
        <color theme="1"/>
        <rFont val="Calibri"/>
        <family val="2"/>
        <scheme val="minor"/>
      </rPr>
      <t>; generate/program its metadata; reset the device; allow candidate validation and boot; complete firmware confirmation.</t>
    </r>
  </si>
  <si>
    <r>
      <t>FW-B1</t>
    </r>
    <r>
      <rPr>
        <sz val="11"/>
        <color theme="1"/>
        <rFont val="Calibri"/>
        <family val="2"/>
        <scheme val="minor"/>
      </rPr>
      <t xml:space="preserve"> passes validation, boots from Slot B, and becomes the confirmed active firmware.</t>
    </r>
  </si>
  <si>
    <t>Uses existing candidate validation and confirmation mechanisms.</t>
  </si>
  <si>
    <t>The bootloader shall support updating the device from a valid confirmed Slot B image to a valid candidate image in Slot A.</t>
  </si>
  <si>
    <t>Verify a successful return update from Slot B to Slot A.</t>
  </si>
  <si>
    <r>
      <t>FW-B1</t>
    </r>
    <r>
      <rPr>
        <sz val="11"/>
        <color theme="1"/>
        <rFont val="Calibri"/>
        <family val="2"/>
        <scheme val="minor"/>
      </rPr>
      <t xml:space="preserve"> is active and confirmed; valid </t>
    </r>
    <r>
      <rPr>
        <sz val="10"/>
        <color theme="1"/>
        <rFont val="Arial Unicode MS"/>
      </rPr>
      <t>FW-A2</t>
    </r>
    <r>
      <rPr>
        <sz val="11"/>
        <color theme="1"/>
        <rFont val="Calibri"/>
        <family val="2"/>
        <scheme val="minor"/>
      </rPr>
      <t xml:space="preserve"> is available in the download/staging area.</t>
    </r>
  </si>
  <si>
    <r>
      <t xml:space="preserve">Program </t>
    </r>
    <r>
      <rPr>
        <sz val="10"/>
        <color theme="1"/>
        <rFont val="Arial Unicode MS"/>
      </rPr>
      <t>FW-A2</t>
    </r>
    <r>
      <rPr>
        <sz val="11"/>
        <color theme="1"/>
        <rFont val="Calibri"/>
        <family val="2"/>
        <scheme val="minor"/>
      </rPr>
      <t>; generate/program metadata; reset; validate and boot Slot A; complete confirmation.</t>
    </r>
  </si>
  <si>
    <r>
      <t>FW-A2</t>
    </r>
    <r>
      <rPr>
        <sz val="11"/>
        <color theme="1"/>
        <rFont val="Calibri"/>
        <family val="2"/>
        <scheme val="minor"/>
      </rPr>
      <t xml:space="preserve"> boots successfully from Slot A and becomes the confirmed active firmware.</t>
    </r>
  </si>
  <si>
    <t>Verifies reverse-direction slot reuse.</t>
  </si>
  <si>
    <t>The bootloader shall allow a previously used Slot B to accept a subsequent valid firmware update after Slot A has become active.</t>
  </si>
  <si>
    <t>Verify reuse of Slot B for a second update.</t>
  </si>
  <si>
    <r>
      <t>FW-A2</t>
    </r>
    <r>
      <rPr>
        <sz val="11"/>
        <color theme="1"/>
        <rFont val="Calibri"/>
        <family val="2"/>
        <scheme val="minor"/>
      </rPr>
      <t xml:space="preserve"> is active and confirmed; valid </t>
    </r>
    <r>
      <rPr>
        <sz val="10"/>
        <color theme="1"/>
        <rFont val="Arial Unicode MS"/>
      </rPr>
      <t>FW-B2</t>
    </r>
    <r>
      <rPr>
        <sz val="11"/>
        <color theme="1"/>
        <rFont val="Calibri"/>
        <family val="2"/>
        <scheme val="minor"/>
      </rPr>
      <t xml:space="preserve"> is available.</t>
    </r>
  </si>
  <si>
    <r>
      <t xml:space="preserve">Program </t>
    </r>
    <r>
      <rPr>
        <sz val="10"/>
        <color theme="1"/>
        <rFont val="Arial Unicode MS"/>
      </rPr>
      <t>FW-B2</t>
    </r>
    <r>
      <rPr>
        <sz val="11"/>
        <color theme="1"/>
        <rFont val="Calibri"/>
        <family val="2"/>
        <scheme val="minor"/>
      </rPr>
      <t>; perform validation; reset; boot Slot B; complete confirmation.</t>
    </r>
  </si>
  <si>
    <r>
      <t>FW-B2</t>
    </r>
    <r>
      <rPr>
        <sz val="11"/>
        <color theme="1"/>
        <rFont val="Calibri"/>
        <family val="2"/>
        <scheme val="minor"/>
      </rPr>
      <t xml:space="preserve"> boots successfully from Slot B and becomes the confirmed active firmware.</t>
    </r>
  </si>
  <si>
    <t>Confirms repeated reuse of Slot B.</t>
  </si>
  <si>
    <t>The FOTA mechanism shall support consecutive successful firmware updates between Slot A and Slot B without reprogramming the bootloader.</t>
  </si>
  <si>
    <t>Validate complete A/B cycling across multiple consecutive updates.</t>
  </si>
  <si>
    <r>
      <t xml:space="preserve">Valid </t>
    </r>
    <r>
      <rPr>
        <sz val="10"/>
        <color theme="1"/>
        <rFont val="Arial Unicode MS"/>
      </rPr>
      <t>FW-A1</t>
    </r>
    <r>
      <rPr>
        <sz val="11"/>
        <color theme="1"/>
        <rFont val="Calibri"/>
        <family val="2"/>
        <scheme val="minor"/>
      </rPr>
      <t xml:space="preserve">, </t>
    </r>
    <r>
      <rPr>
        <sz val="10"/>
        <color theme="1"/>
        <rFont val="Arial Unicode MS"/>
      </rPr>
      <t>FW-B1</t>
    </r>
    <r>
      <rPr>
        <sz val="11"/>
        <color theme="1"/>
        <rFont val="Calibri"/>
        <family val="2"/>
        <scheme val="minor"/>
      </rPr>
      <t xml:space="preserve">, </t>
    </r>
    <r>
      <rPr>
        <sz val="10"/>
        <color theme="1"/>
        <rFont val="Arial Unicode MS"/>
      </rPr>
      <t>FW-A2</t>
    </r>
    <r>
      <rPr>
        <sz val="11"/>
        <color theme="1"/>
        <rFont val="Calibri"/>
        <family val="2"/>
        <scheme val="minor"/>
      </rPr>
      <t xml:space="preserve">, and </t>
    </r>
    <r>
      <rPr>
        <sz val="10"/>
        <color theme="1"/>
        <rFont val="Arial Unicode MS"/>
      </rPr>
      <t>FW-B2</t>
    </r>
    <r>
      <rPr>
        <sz val="11"/>
        <color theme="1"/>
        <rFont val="Calibri"/>
        <family val="2"/>
        <scheme val="minor"/>
      </rPr>
      <t xml:space="preserve"> images are available.</t>
    </r>
  </si>
  <si>
    <t>Execute the A→B, B→A, and A→B update sequences sequentially.</t>
  </si>
  <si>
    <r>
      <t xml:space="preserve">The device successfully completes </t>
    </r>
    <r>
      <rPr>
        <sz val="10"/>
        <color theme="1"/>
        <rFont val="Arial Unicode MS"/>
      </rPr>
      <t>A1 → B1 → A2 → B2</t>
    </r>
    <r>
      <rPr>
        <sz val="11"/>
        <color theme="1"/>
        <rFont val="Calibri"/>
        <family val="2"/>
        <scheme val="minor"/>
      </rPr>
      <t xml:space="preserve">; the correct slot is selected after each reset; final active firmware is </t>
    </r>
    <r>
      <rPr>
        <sz val="10"/>
        <color theme="1"/>
        <rFont val="Arial Unicode MS"/>
      </rPr>
      <t>FW-B2</t>
    </r>
    <r>
      <rPr>
        <sz val="11"/>
        <color theme="1"/>
        <rFont val="Calibri"/>
        <family val="2"/>
        <scheme val="minor"/>
      </rPr>
      <t>.</t>
    </r>
  </si>
  <si>
    <t>Primary end-to-end A/B cycling test.</t>
  </si>
  <si>
    <t>The FOTA mechanism shall recover safely when programming of a candidate image is interrupted before the image is completely written.</t>
  </si>
  <si>
    <t>Verify recovery from an incomplete candidate firmware programming operation.</t>
  </si>
  <si>
    <r>
      <t>FW-A1</t>
    </r>
    <r>
      <rPr>
        <sz val="11"/>
        <color theme="1"/>
        <rFont val="Calibri"/>
        <family val="2"/>
        <scheme val="minor"/>
      </rPr>
      <t xml:space="preserve"> is active and confirmed; Slot B is the update target.</t>
    </r>
  </si>
  <si>
    <r>
      <t xml:space="preserve">Start programming </t>
    </r>
    <r>
      <rPr>
        <sz val="10"/>
        <color theme="1"/>
        <rFont val="Arial Unicode MS"/>
      </rPr>
      <t>FW-B1</t>
    </r>
    <r>
      <rPr>
        <sz val="11"/>
        <color theme="1"/>
        <rFont val="Calibri"/>
        <family val="2"/>
        <scheme val="minor"/>
      </rPr>
      <t>; interrupt programming using reset or power removal before completion; restore power.</t>
    </r>
  </si>
  <si>
    <t>The incomplete Slot B image is rejected and the last confirmed Slot A firmware remains bootable and active.</t>
  </si>
  <si>
    <t>Perform interruption during image programming.</t>
  </si>
  <si>
    <t>The FOTA mechanism shall not activate a candidate image when an update is interrupted before activation is completed.</t>
  </si>
  <si>
    <t>Verify recovery when the image is completely written but activation/commit is interrupted.</t>
  </si>
  <si>
    <r>
      <t>FW-A1</t>
    </r>
    <r>
      <rPr>
        <sz val="11"/>
        <color theme="1"/>
        <rFont val="Calibri"/>
        <family val="2"/>
        <scheme val="minor"/>
      </rPr>
      <t xml:space="preserve"> is active and confirmed; complete </t>
    </r>
    <r>
      <rPr>
        <sz val="10"/>
        <color theme="1"/>
        <rFont val="Arial Unicode MS"/>
      </rPr>
      <t>FW-B1</t>
    </r>
    <r>
      <rPr>
        <sz val="11"/>
        <color theme="1"/>
        <rFont val="Calibri"/>
        <family val="2"/>
        <scheme val="minor"/>
      </rPr>
      <t xml:space="preserve"> is available.</t>
    </r>
  </si>
  <si>
    <t>Program the complete candidate image; interrupt/reset the device before activation or commit is finalized.</t>
  </si>
  <si>
    <t>The uncommitted Slot B image is not selected as the active image; the previously confirmed Slot A image boots.</t>
  </si>
  <si>
    <t>Validates transactional update behavior.</t>
  </si>
  <si>
    <t>The FOTA mechanism shall recover from an interruption during candidate metadata or commit-marker programming.</t>
  </si>
  <si>
    <t>Verify that partially programmed update metadata cannot cause an invalid boot decision.</t>
  </si>
  <si>
    <r>
      <t>FW-A1</t>
    </r>
    <r>
      <rPr>
        <sz val="11"/>
        <color theme="1"/>
        <rFont val="Calibri"/>
        <family val="2"/>
        <scheme val="minor"/>
      </rPr>
      <t xml:space="preserve"> is active and confirmed; valid </t>
    </r>
    <r>
      <rPr>
        <sz val="10"/>
        <color theme="1"/>
        <rFont val="Arial Unicode MS"/>
      </rPr>
      <t>FW-B1</t>
    </r>
    <r>
      <rPr>
        <sz val="11"/>
        <color theme="1"/>
        <rFont val="Calibri"/>
        <family val="2"/>
        <scheme val="minor"/>
      </rPr>
      <t xml:space="preserve"> is being installed.</t>
    </r>
  </si>
  <si>
    <t>Interrupt power/reset during metadata, state-record, or commit-marker programming.</t>
  </si>
  <si>
    <t>Incomplete or invalid metadata is rejected and the last valid confirmed Slot A firmware is selected.</t>
  </si>
  <si>
    <t>Reference metadata append, CRC, and commit validation tests.</t>
  </si>
  <si>
    <t>The FOTA mechanism shall revert to the previously confirmed firmware when a newly booted candidate image fails to confirm.</t>
  </si>
  <si>
    <t>Verify rollback after candidate confirmation failure.</t>
  </si>
  <si>
    <r>
      <t>FW-A1</t>
    </r>
    <r>
      <rPr>
        <sz val="11"/>
        <color theme="1"/>
        <rFont val="Calibri"/>
        <family val="2"/>
        <scheme val="minor"/>
      </rPr>
      <t xml:space="preserve"> is confirmed; valid </t>
    </r>
    <r>
      <rPr>
        <sz val="10"/>
        <color theme="1"/>
        <rFont val="Arial Unicode MS"/>
      </rPr>
      <t>FW-B1</t>
    </r>
    <r>
      <rPr>
        <sz val="11"/>
        <color theme="1"/>
        <rFont val="Calibri"/>
        <family val="2"/>
        <scheme val="minor"/>
      </rPr>
      <t xml:space="preserve"> is selected for candidate boot.</t>
    </r>
  </si>
  <si>
    <r>
      <t xml:space="preserve">Boot </t>
    </r>
    <r>
      <rPr>
        <sz val="10"/>
        <color theme="1"/>
        <rFont val="Arial Unicode MS"/>
      </rPr>
      <t>FW-B1</t>
    </r>
    <r>
      <rPr>
        <sz val="11"/>
        <color theme="1"/>
        <rFont val="Calibri"/>
        <family val="2"/>
        <scheme val="minor"/>
      </rPr>
      <t>; prevent the application from issuing the required confirmation; reset the device.</t>
    </r>
  </si>
  <si>
    <t>Slot B is treated as unconfirmed/failed and the previously confirmed Slot A image is restored as the boot target.</t>
  </si>
  <si>
    <t>Candidate may execute temporarily but must not remain permanently active.</t>
  </si>
  <si>
    <t>The FOTA mechanism shall recover when a candidate firmware image causes a watchdog reset before successful confirmation.</t>
  </si>
  <si>
    <t>Verify recovery from watchdog-triggered candidate failure.</t>
  </si>
  <si>
    <r>
      <t>FW-A1</t>
    </r>
    <r>
      <rPr>
        <sz val="11"/>
        <color theme="1"/>
        <rFont val="Calibri"/>
        <family val="2"/>
        <scheme val="minor"/>
      </rPr>
      <t xml:space="preserve"> is confirmed; </t>
    </r>
    <r>
      <rPr>
        <sz val="10"/>
        <color theme="1"/>
        <rFont val="Arial Unicode MS"/>
      </rPr>
      <t>FW-B1</t>
    </r>
    <r>
      <rPr>
        <sz val="11"/>
        <color theme="1"/>
        <rFont val="Calibri"/>
        <family val="2"/>
        <scheme val="minor"/>
      </rPr>
      <t xml:space="preserve"> is selected as candidate; watchdog mechanism is enabled.</t>
    </r>
  </si>
  <si>
    <t>Execute a test candidate that intentionally stops servicing the watchdog; allow the watchdog to reset the device.</t>
  </si>
  <si>
    <t>After reset, the bootloader detects unsuccessful candidate execution/confirmation and boots the previously confirmed Slot A image.</t>
  </si>
  <si>
    <t>Evidence should include watchdog reset and subsequent Slot A boot.</t>
  </si>
  <si>
    <t>The FOTA mechanism shall prevent an unsuccessful candidate image from causing an indefinite reboot loop.</t>
  </si>
  <si>
    <t>Verify recovery after repeated candidate watchdog failures.</t>
  </si>
  <si>
    <r>
      <t>FW-A1</t>
    </r>
    <r>
      <rPr>
        <sz val="11"/>
        <color theme="1"/>
        <rFont val="Calibri"/>
        <family val="2"/>
        <scheme val="minor"/>
      </rPr>
      <t xml:space="preserve"> is confirmed; failing </t>
    </r>
    <r>
      <rPr>
        <sz val="10"/>
        <color theme="1"/>
        <rFont val="Arial Unicode MS"/>
      </rPr>
      <t>FW-B1</t>
    </r>
    <r>
      <rPr>
        <sz val="11"/>
        <color theme="1"/>
        <rFont val="Calibri"/>
        <family val="2"/>
        <scheme val="minor"/>
      </rPr>
      <t xml:space="preserve"> is available for candidate boot.</t>
    </r>
  </si>
  <si>
    <t>Allow the failing candidate to boot and watchdog-reset repeatedly according to the configured recovery mechanism.</t>
  </si>
  <si>
    <t>The bootloader eventually abandons the failing candidate and boots the last confirmed Slot A image; no infinite candidate reboot loop occurs.</t>
  </si>
  <si>
    <t>Applicable when retry/attempt handling is implemented.</t>
  </si>
  <si>
    <t>A successfully confirmed firmware image shall remain the active boot image across subsequent resets and power cycles until another valid update is accepted.</t>
  </si>
  <si>
    <t>Verify persistence of a successfully confirmed Slot B image.</t>
  </si>
  <si>
    <r>
      <t>FW-B1</t>
    </r>
    <r>
      <rPr>
        <sz val="11"/>
        <color theme="1"/>
        <rFont val="Calibri"/>
        <family val="2"/>
        <scheme val="minor"/>
      </rPr>
      <t xml:space="preserve"> has been successfully confirmed as active.</t>
    </r>
  </si>
  <si>
    <t>Perform multiple software resets and power cycles without initiating another update.</t>
  </si>
  <si>
    <r>
      <t xml:space="preserve">Slot B remains selected and </t>
    </r>
    <r>
      <rPr>
        <sz val="10"/>
        <color theme="1"/>
        <rFont val="Arial Unicode MS"/>
      </rPr>
      <t>FW-B1</t>
    </r>
    <r>
      <rPr>
        <sz val="11"/>
        <color theme="1"/>
        <rFont val="Calibri"/>
        <family val="2"/>
        <scheme val="minor"/>
      </rPr>
      <t xml:space="preserve"> boots successfully after every reset and power cycle.</t>
    </r>
  </si>
  <si>
    <t>Demonstrates persistence of successful activation.</t>
  </si>
  <si>
    <t>After recovering from a failed candidate update, the FOTA mechanism shall allow the previously failed slot to be reused for a subsequent valid firmware update.</t>
  </si>
  <si>
    <t>Verify that recovery does not leave the failed slot unusable.</t>
  </si>
  <si>
    <t>Slot A is confirmed after recovery; Slot B contains a previously failed candidate.</t>
  </si>
  <si>
    <r>
      <t xml:space="preserve">Recover to Slot A; replace the failed Slot B image with valid </t>
    </r>
    <r>
      <rPr>
        <sz val="10"/>
        <color theme="1"/>
        <rFont val="Arial Unicode MS"/>
      </rPr>
      <t>FW-B2</t>
    </r>
    <r>
      <rPr>
        <sz val="11"/>
        <color theme="1"/>
        <rFont val="Calibri"/>
        <family val="2"/>
        <scheme val="minor"/>
      </rPr>
      <t>; perform a new update and confirmation.</t>
    </r>
  </si>
  <si>
    <t>Slot A boots successfully after recovery, and the new valid Slot B image is subsequently accepted and confirmed.</t>
  </si>
  <si>
    <t>Important recovery-to-normal-operation test.</t>
  </si>
  <si>
    <t>Reverse-direction interruption test.</t>
  </si>
  <si>
    <t>Deliberately corrupt firmware contents in Slot B; reset the device.</t>
  </si>
  <si>
    <t>References existing active SHA-256 verification tests.</t>
  </si>
  <si>
    <t>Demonstrates continued FOTA operation after fault recovery.</t>
  </si>
  <si>
    <t>FOTA-AB-002_SlotA_to_SlotB_SuccessfulUpdate.png</t>
  </si>
  <si>
    <t>FOTA-AB-003_SlotB_to_SlotA_SuccessfulUpdate.png</t>
  </si>
  <si>
    <t>FOTA-AB-004_SlotA_to_SlotB_SecondUpdate.png</t>
  </si>
  <si>
    <t>FOTA-AB-005_A_to_B_to_A_to_B_Cycle.png</t>
  </si>
  <si>
    <t>FOTA-AB-006_InterruptedProgramming_Recovery.png</t>
  </si>
  <si>
    <t>FOTA-AB-007_InterruptedActivation_Recovery.png</t>
  </si>
  <si>
    <t>FOTA-AB-008_InterruptedMetadataCommit_Recovery.png</t>
  </si>
  <si>
    <t>FOTA-AB-009_CandidateConfirmationFailure_Rollback.png</t>
  </si>
  <si>
    <t>FOTA-AB-010_WatchdogReset_CandidateRecovery.png</t>
  </si>
  <si>
    <t>FOTA-AB-011_RepeatedWatchdog_NoBootLoop.png</t>
  </si>
  <si>
    <t>FOTA-AB-012_ConfirmedImage_Persistence.png</t>
  </si>
  <si>
    <t>FOTA-AB-013_Recovery_then_NewUpdate.png</t>
  </si>
  <si>
    <t>FOTA-AB-014_InterruptedB_to_A_Recovery.png</t>
  </si>
  <si>
    <t>FOTA-AB-015_ActiveSlotIntegrityFailure_Fallback.png</t>
  </si>
  <si>
    <r>
      <t xml:space="preserve">Bootloader is programmed; Slot A contains valid confirmed </t>
    </r>
    <r>
      <rPr>
        <sz val="10"/>
        <color theme="1"/>
        <rFont val="Arial Unicode MS"/>
      </rPr>
      <t>FW-A1</t>
    </r>
    <r>
      <rPr>
        <sz val="11"/>
        <color theme="1"/>
        <rFont val="Calibri"/>
        <family val="2"/>
        <scheme val="minor"/>
      </rPr>
      <t>; device is operational.</t>
    </r>
  </si>
  <si>
    <r>
      <t xml:space="preserve">Slot A is selected and </t>
    </r>
    <r>
      <rPr>
        <sz val="10"/>
        <color theme="1"/>
        <rFont val="Arial Unicode MS"/>
      </rPr>
      <t>FW-A1</t>
    </r>
    <r>
      <rPr>
        <sz val="11"/>
        <color theme="1"/>
        <rFont val="Calibri"/>
        <family val="2"/>
        <scheme val="minor"/>
      </rPr>
      <t xml:space="preserve"> executes successfully.</t>
    </r>
  </si>
  <si>
    <t>FOTA-AB-001_ActiveSlotA_ConfirmedBoot.png</t>
  </si>
  <si>
    <t>call FlashStorage_ProgramImage(0x08010000, 0x20010000, 15024)</t>
  </si>
  <si>
    <t>$10 = HAL_BUSY</t>
  </si>
  <si>
    <t>Error</t>
  </si>
  <si>
    <t>Diagnosis</t>
  </si>
  <si>
    <t>p pFlash.Lock</t>
  </si>
  <si>
    <t>$11 = HAL_LOCKED</t>
  </si>
  <si>
    <t>p pFlash.ProcedureOnGoing</t>
  </si>
  <si>
    <t>$12 = FLASH_PROC_NONE</t>
  </si>
  <si>
    <t>x/wx 0x40023C0C</t>
  </si>
  <si>
    <t>0x40023c0c: 0x00000000</t>
  </si>
  <si>
    <t>x/wx 0x40023C10</t>
  </si>
  <si>
    <t>0x40023c10: 0x80000000</t>
  </si>
  <si>
    <t>set var pFlash.Lock = 0</t>
  </si>
  <si>
    <t>$13 = HAL_UNLOCKED</t>
  </si>
  <si>
    <t>$14 = HAL_OK</t>
  </si>
  <si>
    <t>x/8wx 0x08010000</t>
  </si>
  <si>
    <t>0x8010000: 0x20020000 0x08040e81 0x08040cb1 0x08040cb9</t>
  </si>
  <si>
    <t>0x8010010: 0x08040cc1 0x08040cc9 0x08040cd1 0x00000000</t>
  </si>
  <si>
    <t>The HAL's internal software lock is held</t>
  </si>
  <si>
    <t>No flash procedure is marked as ongoing</t>
  </si>
  <si>
    <t>No busy or error flags are set in the status register</t>
  </si>
  <si>
    <r>
      <t xml:space="preserve">The flash controller's </t>
    </r>
    <r>
      <rPr>
        <sz val="10"/>
        <color theme="1"/>
        <rFont val="Arial Unicode MS"/>
      </rPr>
      <t>LOCK</t>
    </r>
    <r>
      <rPr>
        <sz val="11"/>
        <color theme="1"/>
        <rFont val="Calibri"/>
        <family val="2"/>
        <scheme val="minor"/>
      </rPr>
      <t xml:space="preserve"> bit is set</t>
    </r>
  </si>
  <si>
    <t>Interrupted A → B Update and Recovery</t>
  </si>
  <si>
    <t>The FOTA mechanism shall preserve the last confirmed Slot A image and recover safely when programming an update targeting Slot B is interrupted.</t>
  </si>
  <si>
    <t>Verify preservation of the confirmed firmware and recovery through automatic update retry after interrupted destination programming.</t>
  </si>
  <si>
    <t>FW-A1 is active and confirmed in Slot A. A valid FW-B2 image is available in the staging area with valid metadata and SHA-256.</t>
  </si>
  <si>
    <t>Start programming FW-B2 into Slot B. Interrupt destination programming using a debugger reset before programming completes. Allow the bootloader to restart and process the pending update.before completion; reset/power-cycle the device.</t>
  </si>
  <si>
    <t>Slot A remains intact, and its firmware integrity verification succeeds. The bootloader revalidates the staged image and retries programming Slot B. If the retry succeeds, the destination SHA-256 matches, Slot B boots as a candidate, and firmware confirmation completes successfully.</t>
  </si>
  <si>
    <t>Slot B integrity verification fails and the bootloader selects and boots BootSafe firmware.</t>
  </si>
  <si>
    <t>Slot B is active and confirmed.</t>
  </si>
  <si>
    <t>Verify active-slot recovery using the BootSafe Mechanism.</t>
  </si>
  <si>
    <t>The bootloader shall fall back to BootSafe mode when the currently active firmware fails integrity verification.</t>
  </si>
  <si>
    <t>Active Slot Selection After Reset</t>
  </si>
  <si>
    <t>After reset, the bootloader shall select the previously configured active firmware slot and perform integrity verification before execution.</t>
  </si>
  <si>
    <t>Verify that the bootloader consistently selects the configured active slot after reset.</t>
  </si>
  <si>
    <t>Slot B is configured as the active slot. Slot A contains a valid firmware image.</t>
  </si>
  <si>
    <t>Reset the device and observe the bootloader's active-slot selection and integrity verification.</t>
  </si>
  <si>
    <t>The bootloader selects Slot B and verifies its SHA-256. If Slot B remains corrupted, the integrity check fails and the bootloader enters fail-safe mode, as specified by the current implementation.</t>
  </si>
  <si>
    <t>FOTA-AB-016_ActiveSlotSelection_AfterReset.png</t>
  </si>
  <si>
    <t>FOTA_AB_Cycling_Recovery</t>
  </si>
  <si>
    <t xml:space="preserve">Total </t>
  </si>
  <si>
    <t>MEM-014</t>
  </si>
  <si>
    <t>Staging and Destination Programming Boundary Validation</t>
  </si>
  <si>
    <t>Firmware programming shall reject image sizes exceeding the permitted capacity of the staging area or destination slot before writing to flash.</t>
  </si>
  <si>
    <r>
      <t xml:space="preserve">Verify the 64 KB staging limit and 128 KB Slot A/Slot B limits in </t>
    </r>
    <r>
      <rPr>
        <sz val="10"/>
        <color theme="1"/>
        <rFont val="Arial Unicode MS"/>
      </rPr>
      <t>FlashStorage_ProgramImage()</t>
    </r>
    <r>
      <rPr>
        <sz val="11"/>
        <color theme="1"/>
        <rFont val="Calibri"/>
        <family val="2"/>
        <scheme val="minor"/>
      </rPr>
      <t>.</t>
    </r>
  </si>
  <si>
    <t>Updated boundary checks are present. Use a mocked or controlled flash-programming interface.</t>
  </si>
  <si>
    <t>HR-03 verification. Account for 32-bit word rounding.</t>
  </si>
  <si>
    <t>MEM-014_Staging_Boundary_Validation</t>
  </si>
  <si>
    <t>FOTA-VAL-013</t>
  </si>
  <si>
    <t>Flash Erase/Program Failure Handling</t>
  </si>
  <si>
    <t>Flash erase, programming, and metadata commit operations shall detect failures and propagate errors without reporting a failed update as successful.</t>
  </si>
  <si>
    <t>Verify flash-operation error handling and metadata commit failure behavior.</t>
  </si>
  <si>
    <t>Updated flash unlock checks are present. Use mocked HAL functions or controlled fault injection.</t>
  </si>
  <si>
    <t>Each failure is reported. Failed operations are not reported as successful, promotion does not advance incorrectly, and metadata is accepted only after required verification and commit checks succeed.</t>
  </si>
  <si>
    <r>
      <t xml:space="preserve">HR-05 verification. Test metadata failures through </t>
    </r>
    <r>
      <rPr>
        <sz val="10"/>
        <color theme="1"/>
        <rFont val="Arial Unicode MS"/>
      </rPr>
      <t>Metadata_WriteRecord()</t>
    </r>
    <r>
      <rPr>
        <sz val="11"/>
        <color theme="1"/>
        <rFont val="Calibri"/>
        <family val="2"/>
        <scheme val="minor"/>
      </rPr>
      <t>.</t>
    </r>
  </si>
  <si>
    <t>FOTA-VAL-013Flash_Erase_Program_Failure_Handling</t>
  </si>
  <si>
    <t>1. Test 64 KB + 1 byte staging write. 
2. Verify rejected requests do not invoke flash programming.</t>
  </si>
  <si>
    <t>Writes within staging region's capacity pass the boundary check. Oversized writes are rejected before flash programming.</t>
  </si>
  <si>
    <t>Oversized writes are rejected before flash programming.</t>
  </si>
  <si>
    <t>1. Simulate flash unlock failure. 2. Check returned status and update-state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</si>
</sst>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Unicode MS"/>
    </font>
    <font>
      <u/>
      <sz val="11"/>
      <color rgb="FF00B0F0"/>
      <name val="Calibri"/>
      <family val="2"/>
      <scheme val="minor"/>
    </font>
    <font>
      <sz val="10"/>
      <color rgb="FF000000"/>
      <name val="Consolas"/>
      <family val="3"/>
    </font>
    <font>
      <sz val="10"/>
      <color rgb="FF00FF0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horizontal="left" vertical="center" wrapText="1"/>
    </xf>
    <xf numFmtId="0" fontId="0" fillId="0" borderId="0" xfId="0" applyAlignment="1">
      <alignment wrapText="1"/>
    </xf>
    <xf numFmtId="0" fontId="2" fillId="0" borderId="0" xfId="0" applyFont="1" applyAlignment="1">
      <alignment vertical="center" wrapText="1"/>
    </xf>
    <xf numFmtId="0" fontId="0" fillId="0" borderId="0" xfId="0" applyAlignment="1">
      <alignment vertical="top" wrapText="1"/>
    </xf>
    <xf numFmtId="0" fontId="0" fillId="0" borderId="0" xfId="0" applyAlignment="1">
      <alignment vertical="top"/>
    </xf>
    <xf numFmtId="0" fontId="2" fillId="0" borderId="0" xfId="0" applyFont="1" applyAlignment="1">
      <alignment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15" fontId="0" fillId="0" borderId="0" xfId="0" applyNumberFormat="1" applyAlignment="1">
      <alignment horizontal="center" vertical="center" wrapText="1"/>
    </xf>
    <xf numFmtId="0" fontId="5" fillId="0" borderId="0" xfId="0" applyFont="1" applyAlignment="1">
      <alignment vertical="center"/>
    </xf>
    <xf numFmtId="0" fontId="4" fillId="0" borderId="0" xfId="0" applyFont="1" applyAlignment="1">
      <alignment vertical="center"/>
    </xf>
    <xf numFmtId="0" fontId="0" fillId="0" borderId="0" xfId="0" applyAlignment="1">
      <alignment horizontal="right" vertical="center" wrapText="1"/>
    </xf>
    <xf numFmtId="9" fontId="0" fillId="0" borderId="0" xfId="0" applyNumberFormat="1" applyAlignment="1">
      <alignment horizontal="center" vertical="center" wrapText="1"/>
    </xf>
    <xf numFmtId="9" fontId="0" fillId="0" borderId="0" xfId="0" applyNumberFormat="1"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9"/>
  <sheetViews>
    <sheetView tabSelected="1" workbookViewId="0">
      <selection activeCell="D23" sqref="D23"/>
    </sheetView>
  </sheetViews>
  <sheetFormatPr defaultRowHeight="14.4"/>
  <cols>
    <col min="1" max="1" width="3.44140625" customWidth="1"/>
    <col min="2" max="2" width="16.33203125" customWidth="1"/>
    <col min="3" max="3" width="40.88671875" customWidth="1"/>
  </cols>
  <sheetData>
    <row r="2" spans="2:3">
      <c r="B2" s="1" t="s">
        <v>0</v>
      </c>
      <c r="C2" s="1" t="s">
        <v>1</v>
      </c>
    </row>
    <row r="3" spans="2:3">
      <c r="B3" s="2" t="s">
        <v>2</v>
      </c>
      <c r="C3" s="2" t="s">
        <v>447</v>
      </c>
    </row>
    <row r="4" spans="2:3">
      <c r="B4" s="2" t="s">
        <v>3</v>
      </c>
      <c r="C4" s="2" t="s">
        <v>4</v>
      </c>
    </row>
    <row r="5" spans="2:3">
      <c r="B5" s="2" t="s">
        <v>5</v>
      </c>
      <c r="C5" s="2" t="s">
        <v>6</v>
      </c>
    </row>
    <row r="6" spans="2:3">
      <c r="B6" s="2" t="s">
        <v>7</v>
      </c>
      <c r="C6" s="2" t="s">
        <v>8</v>
      </c>
    </row>
    <row r="7" spans="2:3">
      <c r="B7" s="2" t="s">
        <v>9</v>
      </c>
      <c r="C7" s="2" t="s">
        <v>10</v>
      </c>
    </row>
    <row r="8" spans="2:3">
      <c r="B8" s="2" t="s">
        <v>11</v>
      </c>
      <c r="C8" s="3">
        <v>46275</v>
      </c>
    </row>
    <row r="9" spans="2:3">
      <c r="B9" s="2" t="s">
        <v>12</v>
      </c>
      <c r="C9" s="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B0C7-E5C4-4E2C-8A4B-14D9D0B82B30}">
  <dimension ref="A2:K9"/>
  <sheetViews>
    <sheetView workbookViewId="0">
      <selection activeCell="E6" sqref="E6"/>
    </sheetView>
  </sheetViews>
  <sheetFormatPr defaultRowHeight="14.4"/>
  <cols>
    <col min="2" max="2" width="12.77734375" customWidth="1"/>
    <col min="3" max="3" width="19.6640625" customWidth="1"/>
    <col min="4" max="4" width="16.6640625" customWidth="1"/>
    <col min="5" max="5" width="16.88671875" customWidth="1"/>
    <col min="6" max="6" width="33.5546875" customWidth="1"/>
    <col min="7" max="7" width="25.33203125" customWidth="1"/>
    <col min="8" max="8" width="29.109375" customWidth="1"/>
    <col min="9" max="9" width="10.5546875" customWidth="1"/>
    <col min="10" max="10" width="19.44140625" customWidth="1"/>
    <col min="11" max="11" width="14.77734375" customWidth="1"/>
  </cols>
  <sheetData>
    <row r="2" spans="1:11">
      <c r="A2" s="1" t="s">
        <v>13</v>
      </c>
      <c r="B2" s="1" t="s">
        <v>14</v>
      </c>
      <c r="C2" s="1" t="s">
        <v>29</v>
      </c>
      <c r="D2" s="1" t="s">
        <v>34</v>
      </c>
      <c r="E2" s="1" t="s">
        <v>30</v>
      </c>
      <c r="F2" s="1" t="s">
        <v>31</v>
      </c>
      <c r="G2" s="1" t="s">
        <v>15</v>
      </c>
      <c r="H2" s="1" t="s">
        <v>16</v>
      </c>
      <c r="I2" s="1" t="s">
        <v>17</v>
      </c>
      <c r="J2" s="1" t="s">
        <v>32</v>
      </c>
      <c r="K2" s="1" t="s">
        <v>18</v>
      </c>
    </row>
    <row r="3" spans="1:11" ht="72">
      <c r="A3" s="2" t="s">
        <v>36</v>
      </c>
      <c r="B3" s="2" t="s">
        <v>37</v>
      </c>
      <c r="C3" s="2" t="s">
        <v>38</v>
      </c>
      <c r="D3" s="2" t="s">
        <v>39</v>
      </c>
      <c r="E3" s="2" t="s">
        <v>40</v>
      </c>
      <c r="F3" s="2" t="s">
        <v>60</v>
      </c>
      <c r="G3" s="2" t="s">
        <v>41</v>
      </c>
      <c r="H3" s="2" t="s">
        <v>64</v>
      </c>
      <c r="I3" s="2" t="s">
        <v>33</v>
      </c>
      <c r="J3" s="2" t="s">
        <v>73</v>
      </c>
      <c r="K3" s="2" t="s">
        <v>42</v>
      </c>
    </row>
    <row r="4" spans="1:11" ht="86.4">
      <c r="A4" s="2" t="s">
        <v>43</v>
      </c>
      <c r="B4" s="2" t="s">
        <v>37</v>
      </c>
      <c r="C4" s="2" t="s">
        <v>44</v>
      </c>
      <c r="D4" s="2" t="s">
        <v>45</v>
      </c>
      <c r="E4" s="2" t="s">
        <v>40</v>
      </c>
      <c r="F4" s="2" t="s">
        <v>61</v>
      </c>
      <c r="G4" s="2" t="s">
        <v>65</v>
      </c>
      <c r="H4" s="2" t="s">
        <v>66</v>
      </c>
      <c r="I4" s="2" t="s">
        <v>33</v>
      </c>
      <c r="J4" s="2" t="s">
        <v>72</v>
      </c>
      <c r="K4" s="2" t="s">
        <v>46</v>
      </c>
    </row>
    <row r="5" spans="1:11" ht="72">
      <c r="A5" s="2" t="s">
        <v>47</v>
      </c>
      <c r="B5" s="2" t="s">
        <v>48</v>
      </c>
      <c r="C5" s="2" t="s">
        <v>49</v>
      </c>
      <c r="D5" s="2" t="s">
        <v>50</v>
      </c>
      <c r="E5" s="2" t="s">
        <v>40</v>
      </c>
      <c r="F5" s="2" t="s">
        <v>62</v>
      </c>
      <c r="G5" s="2" t="s">
        <v>74</v>
      </c>
      <c r="H5" s="2" t="s">
        <v>75</v>
      </c>
      <c r="I5" s="2" t="s">
        <v>33</v>
      </c>
      <c r="J5" s="2" t="s">
        <v>79</v>
      </c>
      <c r="K5" s="2" t="s">
        <v>51</v>
      </c>
    </row>
    <row r="6" spans="1:11" ht="86.4">
      <c r="A6" s="2" t="s">
        <v>52</v>
      </c>
      <c r="B6" s="2" t="s">
        <v>48</v>
      </c>
      <c r="C6" s="2" t="s">
        <v>53</v>
      </c>
      <c r="D6" s="2" t="s">
        <v>54</v>
      </c>
      <c r="E6" s="2" t="s">
        <v>40</v>
      </c>
      <c r="F6" s="2" t="s">
        <v>63</v>
      </c>
      <c r="G6" s="2" t="s">
        <v>78</v>
      </c>
      <c r="H6" s="2" t="s">
        <v>77</v>
      </c>
      <c r="I6" s="2" t="s">
        <v>33</v>
      </c>
      <c r="J6" s="2" t="s">
        <v>76</v>
      </c>
      <c r="K6" s="2" t="s">
        <v>55</v>
      </c>
    </row>
    <row r="7" spans="1:11" ht="115.2">
      <c r="A7" s="2" t="s">
        <v>56</v>
      </c>
      <c r="B7" s="2" t="s">
        <v>48</v>
      </c>
      <c r="C7" s="2" t="s">
        <v>57</v>
      </c>
      <c r="D7" s="2" t="s">
        <v>58</v>
      </c>
      <c r="E7" s="2" t="s">
        <v>40</v>
      </c>
      <c r="F7" s="2" t="s">
        <v>80</v>
      </c>
      <c r="G7" s="2" t="s">
        <v>81</v>
      </c>
      <c r="H7" s="2" t="s">
        <v>82</v>
      </c>
      <c r="I7" s="2" t="s">
        <v>33</v>
      </c>
      <c r="J7" s="2" t="s">
        <v>83</v>
      </c>
      <c r="K7" s="2" t="s">
        <v>59</v>
      </c>
    </row>
    <row r="9" spans="1:11">
      <c r="B9" s="2" t="s">
        <v>84</v>
      </c>
      <c r="C9" s="18" t="s">
        <v>85</v>
      </c>
      <c r="D9" s="18"/>
      <c r="E9" s="18"/>
      <c r="F9" s="18"/>
    </row>
  </sheetData>
  <mergeCells count="1">
    <mergeCell ref="C9:F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5151-40F8-416C-98E3-A78CDE29E48B}">
  <dimension ref="A1:K15"/>
  <sheetViews>
    <sheetView workbookViewId="0">
      <selection activeCell="G19" sqref="G19"/>
    </sheetView>
  </sheetViews>
  <sheetFormatPr defaultRowHeight="14.4"/>
  <cols>
    <col min="2" max="2" width="13.77734375" customWidth="1"/>
    <col min="3" max="3" width="20.6640625" customWidth="1"/>
    <col min="4" max="4" width="21.44140625" customWidth="1"/>
    <col min="5" max="5" width="20.44140625" customWidth="1"/>
    <col min="6" max="6" width="23.77734375" customWidth="1"/>
    <col min="7" max="7" width="22.109375" customWidth="1"/>
    <col min="8" max="8" width="22.44140625" customWidth="1"/>
    <col min="9" max="9" width="8.88671875" style="10"/>
    <col min="10" max="10" width="23.88671875" customWidth="1"/>
    <col min="11" max="11" width="17.33203125" customWidth="1"/>
  </cols>
  <sheetData>
    <row r="1" spans="1:11">
      <c r="A1" s="1" t="s">
        <v>13</v>
      </c>
      <c r="B1" s="1" t="s">
        <v>14</v>
      </c>
      <c r="C1" s="1" t="s">
        <v>29</v>
      </c>
      <c r="D1" s="1" t="s">
        <v>34</v>
      </c>
      <c r="E1" s="1" t="s">
        <v>30</v>
      </c>
      <c r="F1" s="1" t="s">
        <v>31</v>
      </c>
      <c r="G1" s="1" t="s">
        <v>15</v>
      </c>
      <c r="H1" s="1" t="s">
        <v>16</v>
      </c>
      <c r="I1" s="1" t="s">
        <v>17</v>
      </c>
      <c r="J1" s="1" t="s">
        <v>32</v>
      </c>
      <c r="K1" s="1" t="s">
        <v>18</v>
      </c>
    </row>
    <row r="2" spans="1:11" ht="72">
      <c r="A2" s="2" t="s">
        <v>86</v>
      </c>
      <c r="B2" s="2" t="s">
        <v>87</v>
      </c>
      <c r="C2" s="2" t="s">
        <v>88</v>
      </c>
      <c r="D2" s="2" t="s">
        <v>89</v>
      </c>
      <c r="E2" s="2" t="s">
        <v>90</v>
      </c>
      <c r="F2" s="2" t="s">
        <v>91</v>
      </c>
      <c r="G2" s="2" t="s">
        <v>92</v>
      </c>
      <c r="H2" s="2" t="s">
        <v>93</v>
      </c>
      <c r="I2" s="9" t="s">
        <v>33</v>
      </c>
      <c r="J2" s="5" t="s">
        <v>94</v>
      </c>
      <c r="K2" s="2" t="s">
        <v>95</v>
      </c>
    </row>
    <row r="3" spans="1:11" ht="72">
      <c r="A3" s="2" t="s">
        <v>96</v>
      </c>
      <c r="B3" s="2" t="s">
        <v>97</v>
      </c>
      <c r="C3" s="2" t="s">
        <v>98</v>
      </c>
      <c r="D3" s="2" t="s">
        <v>99</v>
      </c>
      <c r="E3" s="2" t="s">
        <v>100</v>
      </c>
      <c r="F3" s="2" t="s">
        <v>101</v>
      </c>
      <c r="G3" s="2" t="s">
        <v>102</v>
      </c>
      <c r="H3" s="5" t="s">
        <v>103</v>
      </c>
      <c r="I3" s="9" t="s">
        <v>33</v>
      </c>
      <c r="J3" s="5" t="s">
        <v>104</v>
      </c>
      <c r="K3" s="2" t="s">
        <v>105</v>
      </c>
    </row>
    <row r="4" spans="1:11" ht="57.6">
      <c r="A4" s="2" t="s">
        <v>106</v>
      </c>
      <c r="B4" s="2" t="s">
        <v>97</v>
      </c>
      <c r="C4" s="2" t="s">
        <v>107</v>
      </c>
      <c r="D4" s="2" t="s">
        <v>108</v>
      </c>
      <c r="E4" s="2" t="s">
        <v>109</v>
      </c>
      <c r="F4" s="2" t="s">
        <v>110</v>
      </c>
      <c r="G4" s="2" t="s">
        <v>111</v>
      </c>
      <c r="H4" s="5" t="s">
        <v>103</v>
      </c>
      <c r="I4" s="9" t="s">
        <v>33</v>
      </c>
      <c r="J4" s="5" t="s">
        <v>112</v>
      </c>
      <c r="K4" s="2" t="s">
        <v>113</v>
      </c>
    </row>
    <row r="5" spans="1:11" ht="99.6">
      <c r="A5" s="2" t="s">
        <v>114</v>
      </c>
      <c r="B5" s="2" t="s">
        <v>115</v>
      </c>
      <c r="C5" s="2" t="s">
        <v>116</v>
      </c>
      <c r="D5" s="2" t="s">
        <v>117</v>
      </c>
      <c r="E5" s="2" t="s">
        <v>118</v>
      </c>
      <c r="F5" s="2" t="s">
        <v>119</v>
      </c>
      <c r="G5" s="2" t="s">
        <v>120</v>
      </c>
      <c r="H5" s="5" t="s">
        <v>121</v>
      </c>
      <c r="I5" s="9" t="s">
        <v>33</v>
      </c>
      <c r="J5" s="5" t="s">
        <v>123</v>
      </c>
      <c r="K5" s="2" t="s">
        <v>122</v>
      </c>
    </row>
    <row r="6" spans="1:11" ht="100.8">
      <c r="A6" s="2" t="s">
        <v>124</v>
      </c>
      <c r="B6" s="2" t="s">
        <v>125</v>
      </c>
      <c r="C6" s="2" t="s">
        <v>126</v>
      </c>
      <c r="D6" s="2" t="s">
        <v>127</v>
      </c>
      <c r="E6" s="2" t="s">
        <v>128</v>
      </c>
      <c r="F6" s="2" t="s">
        <v>129</v>
      </c>
      <c r="G6" s="2" t="s">
        <v>130</v>
      </c>
      <c r="H6" s="2" t="s">
        <v>131</v>
      </c>
      <c r="I6" s="9" t="s">
        <v>33</v>
      </c>
      <c r="J6" s="5" t="s">
        <v>132</v>
      </c>
      <c r="K6" s="2" t="s">
        <v>133</v>
      </c>
    </row>
    <row r="7" spans="1:11" ht="129.6">
      <c r="A7" s="2" t="s">
        <v>154</v>
      </c>
      <c r="B7" s="2" t="s">
        <v>155</v>
      </c>
      <c r="C7" s="2" t="s">
        <v>156</v>
      </c>
      <c r="D7" s="2" t="s">
        <v>157</v>
      </c>
      <c r="E7" s="2" t="s">
        <v>158</v>
      </c>
      <c r="F7" s="2" t="s">
        <v>159</v>
      </c>
      <c r="G7" s="2" t="s">
        <v>160</v>
      </c>
      <c r="H7" s="2" t="s">
        <v>161</v>
      </c>
      <c r="I7" s="9" t="s">
        <v>33</v>
      </c>
      <c r="J7" s="5" t="s">
        <v>162</v>
      </c>
      <c r="K7" s="2" t="s">
        <v>163</v>
      </c>
    </row>
    <row r="8" spans="1:11" ht="100.8">
      <c r="A8" s="2" t="s">
        <v>164</v>
      </c>
      <c r="B8" s="2" t="s">
        <v>165</v>
      </c>
      <c r="C8" s="2" t="s">
        <v>166</v>
      </c>
      <c r="D8" s="2" t="s">
        <v>167</v>
      </c>
      <c r="E8" s="2" t="s">
        <v>168</v>
      </c>
      <c r="F8" s="2" t="s">
        <v>169</v>
      </c>
      <c r="G8" s="2" t="s">
        <v>170</v>
      </c>
      <c r="H8" s="2" t="s">
        <v>171</v>
      </c>
      <c r="I8" s="9" t="s">
        <v>33</v>
      </c>
      <c r="J8" s="5" t="s">
        <v>172</v>
      </c>
      <c r="K8" s="2" t="s">
        <v>173</v>
      </c>
    </row>
    <row r="9" spans="1:11" ht="100.8">
      <c r="A9" s="2" t="s">
        <v>174</v>
      </c>
      <c r="B9" s="2" t="s">
        <v>175</v>
      </c>
      <c r="C9" s="2" t="s">
        <v>176</v>
      </c>
      <c r="D9" s="2" t="s">
        <v>177</v>
      </c>
      <c r="E9" s="2" t="s">
        <v>178</v>
      </c>
      <c r="F9" s="2" t="s">
        <v>179</v>
      </c>
      <c r="G9" s="2" t="s">
        <v>180</v>
      </c>
      <c r="H9" s="5" t="s">
        <v>181</v>
      </c>
      <c r="I9" s="9" t="s">
        <v>33</v>
      </c>
      <c r="J9" s="5" t="s">
        <v>182</v>
      </c>
      <c r="K9" s="2" t="s">
        <v>183</v>
      </c>
    </row>
    <row r="10" spans="1:11" ht="99.6">
      <c r="A10" s="2" t="s">
        <v>184</v>
      </c>
      <c r="B10" s="2" t="s">
        <v>185</v>
      </c>
      <c r="C10" s="2" t="s">
        <v>186</v>
      </c>
      <c r="D10" s="2" t="s">
        <v>187</v>
      </c>
      <c r="E10" s="2" t="s">
        <v>188</v>
      </c>
      <c r="F10" s="2" t="s">
        <v>189</v>
      </c>
      <c r="G10" s="2" t="s">
        <v>190</v>
      </c>
      <c r="H10" s="5" t="s">
        <v>191</v>
      </c>
      <c r="I10" s="9" t="s">
        <v>33</v>
      </c>
      <c r="J10" s="5" t="s">
        <v>192</v>
      </c>
      <c r="K10" s="2" t="s">
        <v>193</v>
      </c>
    </row>
    <row r="11" spans="1:11" s="7" customFormat="1" ht="115.2">
      <c r="A11" s="7" t="s">
        <v>202</v>
      </c>
      <c r="B11" s="6" t="s">
        <v>201</v>
      </c>
      <c r="C11" s="6" t="s">
        <v>210</v>
      </c>
      <c r="D11" s="6" t="s">
        <v>209</v>
      </c>
      <c r="E11" s="6" t="s">
        <v>208</v>
      </c>
      <c r="F11" s="6" t="s">
        <v>207</v>
      </c>
      <c r="G11" s="6" t="s">
        <v>206</v>
      </c>
      <c r="H11" s="8" t="s">
        <v>205</v>
      </c>
      <c r="I11" s="9" t="s">
        <v>33</v>
      </c>
      <c r="J11" s="8" t="s">
        <v>204</v>
      </c>
      <c r="K11" s="6" t="s">
        <v>203</v>
      </c>
    </row>
    <row r="12" spans="1:11" s="6" customFormat="1" ht="129.6">
      <c r="A12" s="6" t="s">
        <v>211</v>
      </c>
      <c r="B12" s="6" t="s">
        <v>201</v>
      </c>
      <c r="C12" s="6" t="s">
        <v>200</v>
      </c>
      <c r="D12" s="6" t="s">
        <v>199</v>
      </c>
      <c r="E12" s="6" t="s">
        <v>198</v>
      </c>
      <c r="F12" s="6" t="s">
        <v>197</v>
      </c>
      <c r="G12" s="6" t="s">
        <v>196</v>
      </c>
      <c r="H12" s="6" t="s">
        <v>195</v>
      </c>
      <c r="I12" s="9" t="s">
        <v>33</v>
      </c>
      <c r="J12" s="6" t="s">
        <v>212</v>
      </c>
      <c r="K12" s="6" t="s">
        <v>194</v>
      </c>
    </row>
    <row r="13" spans="1:11" s="6" customFormat="1" ht="144">
      <c r="A13" s="6" t="s">
        <v>221</v>
      </c>
      <c r="B13" s="6" t="s">
        <v>220</v>
      </c>
      <c r="C13" s="6" t="s">
        <v>219</v>
      </c>
      <c r="D13" s="6" t="s">
        <v>218</v>
      </c>
      <c r="E13" s="6" t="s">
        <v>217</v>
      </c>
      <c r="F13" s="6" t="s">
        <v>216</v>
      </c>
      <c r="G13" s="6" t="s">
        <v>215</v>
      </c>
      <c r="H13" s="6" t="s">
        <v>232</v>
      </c>
      <c r="I13" s="9" t="s">
        <v>33</v>
      </c>
      <c r="J13" s="6" t="s">
        <v>214</v>
      </c>
      <c r="K13" s="6" t="s">
        <v>213</v>
      </c>
    </row>
    <row r="14" spans="1:11" s="6" customFormat="1" ht="100.8">
      <c r="A14" s="6" t="s">
        <v>231</v>
      </c>
      <c r="B14" s="6" t="s">
        <v>228</v>
      </c>
      <c r="C14" s="6" t="s">
        <v>227</v>
      </c>
      <c r="D14" s="6" t="s">
        <v>230</v>
      </c>
      <c r="E14" s="6" t="s">
        <v>226</v>
      </c>
      <c r="F14" s="6" t="s">
        <v>225</v>
      </c>
      <c r="G14" s="6" t="s">
        <v>224</v>
      </c>
      <c r="H14" s="6" t="s">
        <v>229</v>
      </c>
      <c r="I14" s="9" t="s">
        <v>33</v>
      </c>
      <c r="J14" s="6" t="s">
        <v>223</v>
      </c>
      <c r="K14" s="6" t="s">
        <v>222</v>
      </c>
    </row>
    <row r="15" spans="1:11" s="2" customFormat="1" ht="100.8">
      <c r="A15" s="2" t="s">
        <v>615</v>
      </c>
      <c r="B15" s="2" t="s">
        <v>616</v>
      </c>
      <c r="C15" s="2" t="s">
        <v>617</v>
      </c>
      <c r="D15" s="2" t="s">
        <v>618</v>
      </c>
      <c r="E15" s="2" t="s">
        <v>619</v>
      </c>
      <c r="F15" s="2" t="s">
        <v>630</v>
      </c>
      <c r="G15" s="2" t="s">
        <v>632</v>
      </c>
      <c r="H15" s="2" t="s">
        <v>631</v>
      </c>
      <c r="I15" s="9" t="s">
        <v>33</v>
      </c>
      <c r="J15" s="2" t="s">
        <v>621</v>
      </c>
      <c r="K15" s="2" t="s">
        <v>620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C987-18E6-4B70-93B6-FCBA274DBA4D}">
  <dimension ref="A1:K10"/>
  <sheetViews>
    <sheetView workbookViewId="0">
      <selection activeCell="C4" sqref="C4"/>
    </sheetView>
  </sheetViews>
  <sheetFormatPr defaultRowHeight="14.4"/>
  <cols>
    <col min="1" max="1" width="8.88671875" style="11"/>
    <col min="2" max="2" width="10.5546875" customWidth="1"/>
    <col min="3" max="3" width="16" customWidth="1"/>
    <col min="4" max="4" width="22.77734375" customWidth="1"/>
    <col min="5" max="5" width="21.109375" customWidth="1"/>
    <col min="6" max="6" width="41.21875" customWidth="1"/>
    <col min="7" max="7" width="22.6640625" customWidth="1"/>
    <col min="8" max="8" width="16" customWidth="1"/>
    <col min="9" max="9" width="8.88671875" style="10"/>
    <col min="10" max="10" width="16.21875" customWidth="1"/>
    <col min="11" max="11" width="17.6640625" customWidth="1"/>
  </cols>
  <sheetData>
    <row r="1" spans="1:11">
      <c r="A1" s="1" t="s">
        <v>13</v>
      </c>
      <c r="B1" s="1" t="s">
        <v>14</v>
      </c>
      <c r="C1" s="1" t="s">
        <v>29</v>
      </c>
      <c r="D1" s="1" t="s">
        <v>34</v>
      </c>
      <c r="E1" s="1" t="s">
        <v>30</v>
      </c>
      <c r="F1" s="1" t="s">
        <v>31</v>
      </c>
      <c r="G1" s="1" t="s">
        <v>15</v>
      </c>
      <c r="H1" s="1" t="s">
        <v>16</v>
      </c>
      <c r="I1" s="1" t="s">
        <v>17</v>
      </c>
      <c r="J1" s="1" t="s">
        <v>32</v>
      </c>
      <c r="K1" s="1" t="s">
        <v>18</v>
      </c>
    </row>
    <row r="2" spans="1:11" ht="115.2">
      <c r="A2" s="9" t="s">
        <v>233</v>
      </c>
      <c r="B2" s="2" t="s">
        <v>234</v>
      </c>
      <c r="C2" s="2" t="s">
        <v>235</v>
      </c>
      <c r="D2" s="2" t="s">
        <v>236</v>
      </c>
      <c r="E2" s="2" t="s">
        <v>237</v>
      </c>
      <c r="F2" s="2" t="s">
        <v>241</v>
      </c>
      <c r="G2" s="5" t="s">
        <v>238</v>
      </c>
      <c r="H2" s="5" t="s">
        <v>239</v>
      </c>
      <c r="I2" s="9" t="s">
        <v>33</v>
      </c>
      <c r="J2" s="2" t="s">
        <v>242</v>
      </c>
      <c r="K2" s="2" t="s">
        <v>240</v>
      </c>
    </row>
    <row r="3" spans="1:11" ht="158.4">
      <c r="A3" s="2" t="s">
        <v>243</v>
      </c>
      <c r="B3" s="2" t="s">
        <v>259</v>
      </c>
      <c r="C3" s="2" t="s">
        <v>245</v>
      </c>
      <c r="D3" s="2" t="s">
        <v>246</v>
      </c>
      <c r="E3" s="2" t="s">
        <v>247</v>
      </c>
      <c r="F3" s="2" t="s">
        <v>251</v>
      </c>
      <c r="G3" s="2" t="s">
        <v>248</v>
      </c>
      <c r="H3" s="2" t="s">
        <v>249</v>
      </c>
      <c r="I3" s="2" t="s">
        <v>33</v>
      </c>
      <c r="J3" s="2" t="s">
        <v>260</v>
      </c>
      <c r="K3" s="2" t="s">
        <v>250</v>
      </c>
    </row>
    <row r="4" spans="1:11" ht="172.8">
      <c r="A4" s="2" t="s">
        <v>261</v>
      </c>
      <c r="B4" s="2" t="s">
        <v>244</v>
      </c>
      <c r="C4" s="2" t="s">
        <v>252</v>
      </c>
      <c r="D4" s="2" t="s">
        <v>253</v>
      </c>
      <c r="E4" s="2" t="s">
        <v>254</v>
      </c>
      <c r="F4" s="2" t="s">
        <v>441</v>
      </c>
      <c r="G4" s="2" t="s">
        <v>255</v>
      </c>
      <c r="H4" s="2" t="s">
        <v>256</v>
      </c>
      <c r="I4" s="2" t="s">
        <v>33</v>
      </c>
      <c r="J4" s="2" t="s">
        <v>258</v>
      </c>
      <c r="K4" s="2" t="s">
        <v>257</v>
      </c>
    </row>
    <row r="5" spans="1:11" ht="213.6">
      <c r="A5" s="2" t="s">
        <v>262</v>
      </c>
      <c r="B5" s="2" t="s">
        <v>263</v>
      </c>
      <c r="C5" s="2" t="s">
        <v>264</v>
      </c>
      <c r="D5" s="2" t="s">
        <v>265</v>
      </c>
      <c r="E5" s="2" t="s">
        <v>266</v>
      </c>
      <c r="F5" s="2" t="s">
        <v>437</v>
      </c>
      <c r="G5" s="2" t="s">
        <v>267</v>
      </c>
      <c r="H5" s="2" t="s">
        <v>268</v>
      </c>
      <c r="I5" s="2" t="s">
        <v>33</v>
      </c>
      <c r="J5" s="5" t="s">
        <v>269</v>
      </c>
      <c r="K5" s="2" t="s">
        <v>270</v>
      </c>
    </row>
    <row r="6" spans="1:11" ht="244.8">
      <c r="A6" s="2" t="s">
        <v>271</v>
      </c>
      <c r="B6" s="2" t="s">
        <v>280</v>
      </c>
      <c r="C6" s="2" t="s">
        <v>281</v>
      </c>
      <c r="D6" s="2" t="s">
        <v>282</v>
      </c>
      <c r="E6" s="2" t="s">
        <v>283</v>
      </c>
      <c r="F6" s="2" t="s">
        <v>438</v>
      </c>
      <c r="G6" s="2" t="s">
        <v>284</v>
      </c>
      <c r="H6" s="2" t="s">
        <v>285</v>
      </c>
      <c r="I6" s="2" t="s">
        <v>33</v>
      </c>
      <c r="J6" s="5" t="s">
        <v>287</v>
      </c>
      <c r="K6" s="2" t="s">
        <v>286</v>
      </c>
    </row>
    <row r="7" spans="1:11" ht="230.4">
      <c r="A7" s="2" t="s">
        <v>288</v>
      </c>
      <c r="B7" s="2" t="s">
        <v>289</v>
      </c>
      <c r="C7" s="2" t="s">
        <v>290</v>
      </c>
      <c r="D7" s="2" t="s">
        <v>291</v>
      </c>
      <c r="E7" s="2" t="s">
        <v>292</v>
      </c>
      <c r="F7" s="2" t="s">
        <v>436</v>
      </c>
      <c r="G7" s="2" t="s">
        <v>293</v>
      </c>
      <c r="H7" s="2" t="s">
        <v>294</v>
      </c>
      <c r="I7" s="2" t="s">
        <v>33</v>
      </c>
      <c r="J7" s="2" t="s">
        <v>296</v>
      </c>
      <c r="K7" s="2" t="s">
        <v>295</v>
      </c>
    </row>
    <row r="8" spans="1:11" ht="115.2">
      <c r="A8" s="2" t="s">
        <v>404</v>
      </c>
      <c r="B8" s="2" t="s">
        <v>405</v>
      </c>
      <c r="C8" s="2" t="s">
        <v>406</v>
      </c>
      <c r="D8" s="2" t="s">
        <v>407</v>
      </c>
      <c r="E8" s="2" t="s">
        <v>408</v>
      </c>
      <c r="F8" s="2" t="s">
        <v>435</v>
      </c>
      <c r="G8" s="2" t="s">
        <v>409</v>
      </c>
      <c r="H8" s="2" t="s">
        <v>434</v>
      </c>
      <c r="I8" s="2" t="s">
        <v>33</v>
      </c>
      <c r="J8" s="5" t="s">
        <v>410</v>
      </c>
      <c r="K8" s="2" t="s">
        <v>411</v>
      </c>
    </row>
    <row r="9" spans="1:11" ht="100.8">
      <c r="A9" s="2" t="s">
        <v>412</v>
      </c>
      <c r="B9" s="2" t="s">
        <v>414</v>
      </c>
      <c r="C9" s="2" t="s">
        <v>415</v>
      </c>
      <c r="D9" s="2" t="s">
        <v>416</v>
      </c>
      <c r="E9" s="2" t="s">
        <v>417</v>
      </c>
      <c r="F9" s="2" t="s">
        <v>439</v>
      </c>
      <c r="G9" s="2" t="s">
        <v>418</v>
      </c>
      <c r="H9" s="2" t="s">
        <v>418</v>
      </c>
      <c r="I9" s="2" t="s">
        <v>33</v>
      </c>
      <c r="J9" s="5" t="s">
        <v>442</v>
      </c>
      <c r="K9" s="2" t="s">
        <v>419</v>
      </c>
    </row>
    <row r="10" spans="1:11" ht="100.8">
      <c r="A10" s="2" t="s">
        <v>413</v>
      </c>
      <c r="B10" s="2" t="s">
        <v>403</v>
      </c>
      <c r="C10" s="2" t="s">
        <v>420</v>
      </c>
      <c r="D10" s="2" t="s">
        <v>421</v>
      </c>
      <c r="E10" s="2" t="s">
        <v>422</v>
      </c>
      <c r="F10" s="2" t="s">
        <v>440</v>
      </c>
      <c r="G10" s="2" t="s">
        <v>423</v>
      </c>
      <c r="H10" s="2" t="s">
        <v>423</v>
      </c>
      <c r="I10" s="2" t="s">
        <v>19</v>
      </c>
      <c r="J10" s="5" t="s">
        <v>443</v>
      </c>
      <c r="K10" s="2" t="s">
        <v>424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5142-AEE3-4F3C-9EE7-B4A55C2203BE}">
  <dimension ref="A1:K14"/>
  <sheetViews>
    <sheetView workbookViewId="0">
      <selection activeCell="G22" sqref="G22"/>
    </sheetView>
  </sheetViews>
  <sheetFormatPr defaultRowHeight="14.4"/>
  <cols>
    <col min="1" max="1" width="9.6640625" customWidth="1"/>
    <col min="2" max="2" width="12.21875" customWidth="1"/>
    <col min="3" max="3" width="21.33203125" customWidth="1"/>
    <col min="4" max="4" width="14.88671875" customWidth="1"/>
    <col min="5" max="5" width="21.77734375" customWidth="1"/>
    <col min="6" max="6" width="24.21875" customWidth="1"/>
    <col min="7" max="7" width="27.21875" customWidth="1"/>
    <col min="8" max="8" width="22.6640625" customWidth="1"/>
    <col min="10" max="10" width="21.33203125" customWidth="1"/>
    <col min="11" max="11" width="17.33203125" customWidth="1"/>
  </cols>
  <sheetData>
    <row r="1" spans="1:11">
      <c r="A1" s="1" t="s">
        <v>13</v>
      </c>
      <c r="B1" s="1" t="s">
        <v>14</v>
      </c>
      <c r="C1" s="1" t="s">
        <v>29</v>
      </c>
      <c r="D1" s="1" t="s">
        <v>34</v>
      </c>
      <c r="E1" s="1" t="s">
        <v>30</v>
      </c>
      <c r="F1" s="1" t="s">
        <v>31</v>
      </c>
      <c r="G1" s="1" t="s">
        <v>15</v>
      </c>
      <c r="H1" s="1" t="s">
        <v>16</v>
      </c>
      <c r="I1" s="1" t="s">
        <v>17</v>
      </c>
      <c r="J1" s="1" t="s">
        <v>32</v>
      </c>
      <c r="K1" s="1" t="s">
        <v>18</v>
      </c>
    </row>
    <row r="2" spans="1:11" ht="85.2">
      <c r="A2" s="2" t="s">
        <v>300</v>
      </c>
      <c r="B2" s="2" t="s">
        <v>301</v>
      </c>
      <c r="C2" s="2" t="s">
        <v>319</v>
      </c>
      <c r="D2" s="2" t="s">
        <v>320</v>
      </c>
      <c r="E2" s="2" t="s">
        <v>321</v>
      </c>
      <c r="F2" s="2" t="s">
        <v>322</v>
      </c>
      <c r="G2" s="5" t="s">
        <v>323</v>
      </c>
      <c r="H2" s="5" t="s">
        <v>323</v>
      </c>
      <c r="I2" s="2" t="s">
        <v>33</v>
      </c>
      <c r="J2" s="2" t="s">
        <v>391</v>
      </c>
      <c r="K2" s="2" t="s">
        <v>324</v>
      </c>
    </row>
    <row r="3" spans="1:11" ht="70.8">
      <c r="A3" s="2" t="s">
        <v>302</v>
      </c>
      <c r="B3" s="2" t="s">
        <v>301</v>
      </c>
      <c r="C3" s="2" t="s">
        <v>325</v>
      </c>
      <c r="D3" s="2" t="s">
        <v>326</v>
      </c>
      <c r="E3" s="2" t="s">
        <v>327</v>
      </c>
      <c r="F3" s="2" t="s">
        <v>328</v>
      </c>
      <c r="G3" s="5" t="s">
        <v>329</v>
      </c>
      <c r="H3" s="5" t="s">
        <v>329</v>
      </c>
      <c r="I3" s="2" t="s">
        <v>33</v>
      </c>
      <c r="J3" s="4" t="s">
        <v>392</v>
      </c>
      <c r="K3" s="2" t="s">
        <v>330</v>
      </c>
    </row>
    <row r="4" spans="1:11" ht="72">
      <c r="A4" s="2" t="s">
        <v>303</v>
      </c>
      <c r="B4" s="2" t="s">
        <v>304</v>
      </c>
      <c r="C4" s="2" t="s">
        <v>331</v>
      </c>
      <c r="D4" s="2" t="s">
        <v>332</v>
      </c>
      <c r="E4" s="2" t="s">
        <v>333</v>
      </c>
      <c r="F4" s="2" t="s">
        <v>334</v>
      </c>
      <c r="G4" s="5" t="s">
        <v>335</v>
      </c>
      <c r="H4" s="5" t="s">
        <v>335</v>
      </c>
      <c r="I4" s="2" t="s">
        <v>33</v>
      </c>
      <c r="J4" t="s">
        <v>395</v>
      </c>
      <c r="K4" s="2" t="s">
        <v>336</v>
      </c>
    </row>
    <row r="5" spans="1:11" ht="57.6">
      <c r="A5" s="2" t="s">
        <v>305</v>
      </c>
      <c r="B5" s="2" t="s">
        <v>304</v>
      </c>
      <c r="C5" s="2" t="s">
        <v>337</v>
      </c>
      <c r="D5" s="2" t="s">
        <v>338</v>
      </c>
      <c r="E5" s="2" t="s">
        <v>339</v>
      </c>
      <c r="F5" s="2" t="s">
        <v>340</v>
      </c>
      <c r="G5" s="5" t="s">
        <v>341</v>
      </c>
      <c r="H5" s="5" t="s">
        <v>341</v>
      </c>
      <c r="I5" s="2" t="s">
        <v>33</v>
      </c>
      <c r="J5" t="s">
        <v>393</v>
      </c>
      <c r="K5" s="2" t="s">
        <v>342</v>
      </c>
    </row>
    <row r="6" spans="1:11" ht="86.4">
      <c r="A6" s="2" t="s">
        <v>306</v>
      </c>
      <c r="B6" s="2" t="s">
        <v>343</v>
      </c>
      <c r="C6" s="2" t="s">
        <v>344</v>
      </c>
      <c r="D6" s="2" t="s">
        <v>345</v>
      </c>
      <c r="E6" s="2" t="s">
        <v>346</v>
      </c>
      <c r="F6" s="2" t="s">
        <v>347</v>
      </c>
      <c r="G6" s="5" t="s">
        <v>348</v>
      </c>
      <c r="H6" s="5" t="s">
        <v>348</v>
      </c>
      <c r="I6" s="2" t="s">
        <v>33</v>
      </c>
      <c r="J6" t="s">
        <v>396</v>
      </c>
      <c r="K6" s="2" t="s">
        <v>330</v>
      </c>
    </row>
    <row r="7" spans="1:11" ht="72">
      <c r="A7" s="2" t="s">
        <v>307</v>
      </c>
      <c r="B7" s="2" t="s">
        <v>309</v>
      </c>
      <c r="C7" s="2" t="s">
        <v>349</v>
      </c>
      <c r="D7" s="2" t="s">
        <v>350</v>
      </c>
      <c r="E7" s="2" t="s">
        <v>351</v>
      </c>
      <c r="F7" s="2" t="s">
        <v>352</v>
      </c>
      <c r="G7" s="2" t="s">
        <v>353</v>
      </c>
      <c r="H7" s="2" t="s">
        <v>353</v>
      </c>
      <c r="I7" s="2" t="s">
        <v>33</v>
      </c>
      <c r="J7" t="s">
        <v>394</v>
      </c>
      <c r="K7" s="2" t="s">
        <v>354</v>
      </c>
    </row>
    <row r="8" spans="1:11" ht="99.6">
      <c r="A8" s="2" t="s">
        <v>308</v>
      </c>
      <c r="B8" s="2" t="s">
        <v>309</v>
      </c>
      <c r="C8" s="2" t="s">
        <v>355</v>
      </c>
      <c r="D8" s="2" t="s">
        <v>356</v>
      </c>
      <c r="E8" s="2" t="s">
        <v>357</v>
      </c>
      <c r="F8" s="2" t="s">
        <v>358</v>
      </c>
      <c r="G8" s="2" t="s">
        <v>359</v>
      </c>
      <c r="H8" s="2" t="s">
        <v>359</v>
      </c>
      <c r="I8" s="2" t="s">
        <v>33</v>
      </c>
      <c r="J8" t="s">
        <v>397</v>
      </c>
      <c r="K8" s="2" t="s">
        <v>360</v>
      </c>
    </row>
    <row r="9" spans="1:11" ht="86.4">
      <c r="A9" s="2" t="s">
        <v>310</v>
      </c>
      <c r="B9" s="2" t="s">
        <v>311</v>
      </c>
      <c r="C9" s="2" t="s">
        <v>361</v>
      </c>
      <c r="D9" s="2" t="s">
        <v>362</v>
      </c>
      <c r="E9" s="2" t="s">
        <v>363</v>
      </c>
      <c r="F9" s="2" t="s">
        <v>364</v>
      </c>
      <c r="G9" s="5" t="s">
        <v>365</v>
      </c>
      <c r="H9" s="5" t="s">
        <v>365</v>
      </c>
      <c r="I9" s="2" t="s">
        <v>33</v>
      </c>
      <c r="J9" t="s">
        <v>398</v>
      </c>
      <c r="K9" s="2" t="s">
        <v>366</v>
      </c>
    </row>
    <row r="10" spans="1:11" ht="86.4">
      <c r="A10" s="2" t="s">
        <v>312</v>
      </c>
      <c r="B10" s="2" t="s">
        <v>313</v>
      </c>
      <c r="C10" s="2" t="s">
        <v>367</v>
      </c>
      <c r="D10" s="2" t="s">
        <v>368</v>
      </c>
      <c r="E10" s="2" t="s">
        <v>369</v>
      </c>
      <c r="F10" s="2" t="s">
        <v>370</v>
      </c>
      <c r="G10" s="2" t="s">
        <v>371</v>
      </c>
      <c r="H10" s="2" t="s">
        <v>371</v>
      </c>
      <c r="I10" s="2" t="s">
        <v>33</v>
      </c>
      <c r="J10" t="s">
        <v>399</v>
      </c>
      <c r="K10" s="2" t="s">
        <v>372</v>
      </c>
    </row>
    <row r="11" spans="1:11" ht="86.4">
      <c r="A11" s="2" t="s">
        <v>314</v>
      </c>
      <c r="B11" s="2" t="s">
        <v>313</v>
      </c>
      <c r="C11" s="2" t="s">
        <v>373</v>
      </c>
      <c r="D11" s="2" t="s">
        <v>374</v>
      </c>
      <c r="E11" s="2" t="s">
        <v>375</v>
      </c>
      <c r="F11" s="2" t="s">
        <v>376</v>
      </c>
      <c r="G11" s="2" t="s">
        <v>377</v>
      </c>
      <c r="H11" s="2" t="s">
        <v>377</v>
      </c>
      <c r="I11" s="2" t="s">
        <v>33</v>
      </c>
      <c r="J11" t="s">
        <v>400</v>
      </c>
      <c r="K11" s="2" t="s">
        <v>378</v>
      </c>
    </row>
    <row r="12" spans="1:11" ht="86.4">
      <c r="A12" s="2" t="s">
        <v>315</v>
      </c>
      <c r="B12" s="2" t="s">
        <v>316</v>
      </c>
      <c r="C12" s="2" t="s">
        <v>379</v>
      </c>
      <c r="D12" s="2" t="s">
        <v>380</v>
      </c>
      <c r="E12" s="2" t="s">
        <v>381</v>
      </c>
      <c r="F12" s="2" t="s">
        <v>382</v>
      </c>
      <c r="G12" s="2" t="s">
        <v>383</v>
      </c>
      <c r="H12" s="2" t="s">
        <v>383</v>
      </c>
      <c r="I12" s="2" t="s">
        <v>33</v>
      </c>
      <c r="J12" t="s">
        <v>401</v>
      </c>
      <c r="K12" s="2" t="s">
        <v>384</v>
      </c>
    </row>
    <row r="13" spans="1:11" ht="86.4">
      <c r="A13" s="2" t="s">
        <v>317</v>
      </c>
      <c r="B13" s="2" t="s">
        <v>316</v>
      </c>
      <c r="C13" s="2" t="s">
        <v>385</v>
      </c>
      <c r="D13" s="2" t="s">
        <v>386</v>
      </c>
      <c r="E13" s="2" t="s">
        <v>387</v>
      </c>
      <c r="F13" s="2" t="s">
        <v>388</v>
      </c>
      <c r="G13" s="2" t="s">
        <v>389</v>
      </c>
      <c r="H13" s="2" t="s">
        <v>389</v>
      </c>
      <c r="I13" s="2" t="s">
        <v>33</v>
      </c>
      <c r="J13" t="s">
        <v>402</v>
      </c>
      <c r="K13" s="2" t="s">
        <v>390</v>
      </c>
    </row>
    <row r="14" spans="1:11" ht="129.6">
      <c r="A14" s="2" t="s">
        <v>622</v>
      </c>
      <c r="B14" s="2" t="s">
        <v>623</v>
      </c>
      <c r="C14" s="2" t="s">
        <v>624</v>
      </c>
      <c r="D14" s="2" t="s">
        <v>625</v>
      </c>
      <c r="E14" s="2" t="s">
        <v>626</v>
      </c>
      <c r="F14" s="2" t="s">
        <v>633</v>
      </c>
      <c r="G14" s="2" t="s">
        <v>627</v>
      </c>
      <c r="H14" s="2" t="s">
        <v>627</v>
      </c>
      <c r="I14" s="2" t="s">
        <v>33</v>
      </c>
      <c r="J14" s="2" t="s">
        <v>629</v>
      </c>
      <c r="K14" s="2" t="s">
        <v>628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4105-2E09-406B-BCFD-ABDBD3411BFF}">
  <dimension ref="A1:K17"/>
  <sheetViews>
    <sheetView workbookViewId="0">
      <selection activeCell="G28" sqref="G28"/>
    </sheetView>
  </sheetViews>
  <sheetFormatPr defaultRowHeight="14.4"/>
  <cols>
    <col min="2" max="2" width="10.77734375" customWidth="1"/>
    <col min="3" max="3" width="26.33203125" customWidth="1"/>
    <col min="4" max="4" width="23" customWidth="1"/>
    <col min="5" max="5" width="20" customWidth="1"/>
    <col min="6" max="6" width="22.88671875" customWidth="1"/>
    <col min="7" max="7" width="21.88671875" customWidth="1"/>
    <col min="8" max="8" width="24.21875" customWidth="1"/>
    <col min="10" max="10" width="18.6640625" customWidth="1"/>
    <col min="11" max="11" width="15.44140625" customWidth="1"/>
  </cols>
  <sheetData>
    <row r="1" spans="1:11">
      <c r="A1" s="1" t="s">
        <v>13</v>
      </c>
      <c r="B1" s="1" t="s">
        <v>14</v>
      </c>
      <c r="C1" s="1" t="s">
        <v>29</v>
      </c>
      <c r="D1" s="1" t="s">
        <v>34</v>
      </c>
      <c r="E1" s="1" t="s">
        <v>30</v>
      </c>
      <c r="F1" s="1" t="s">
        <v>31</v>
      </c>
      <c r="G1" s="1" t="s">
        <v>15</v>
      </c>
      <c r="H1" s="1" t="s">
        <v>16</v>
      </c>
      <c r="I1" s="1" t="s">
        <v>17</v>
      </c>
      <c r="J1" s="1" t="s">
        <v>32</v>
      </c>
      <c r="K1" s="1" t="s">
        <v>18</v>
      </c>
    </row>
    <row r="2" spans="1:11" ht="72">
      <c r="A2" s="2" t="s">
        <v>449</v>
      </c>
      <c r="B2" s="2" t="s">
        <v>448</v>
      </c>
      <c r="C2" s="2" t="s">
        <v>477</v>
      </c>
      <c r="D2" s="2" t="s">
        <v>478</v>
      </c>
      <c r="E2" s="2" t="s">
        <v>571</v>
      </c>
      <c r="F2" s="2" t="s">
        <v>479</v>
      </c>
      <c r="G2" s="2" t="s">
        <v>572</v>
      </c>
      <c r="H2" s="2" t="s">
        <v>572</v>
      </c>
      <c r="I2" s="2" t="s">
        <v>33</v>
      </c>
      <c r="J2" s="5" t="s">
        <v>573</v>
      </c>
      <c r="K2" s="2" t="s">
        <v>480</v>
      </c>
    </row>
    <row r="3" spans="1:11" ht="100.8">
      <c r="A3" s="2" t="s">
        <v>451</v>
      </c>
      <c r="B3" s="2" t="s">
        <v>450</v>
      </c>
      <c r="C3" s="2" t="s">
        <v>481</v>
      </c>
      <c r="D3" s="2" t="s">
        <v>482</v>
      </c>
      <c r="E3" s="5" t="s">
        <v>483</v>
      </c>
      <c r="F3" s="2" t="s">
        <v>484</v>
      </c>
      <c r="G3" s="5" t="s">
        <v>485</v>
      </c>
      <c r="H3" s="5" t="s">
        <v>485</v>
      </c>
      <c r="I3" s="2" t="s">
        <v>33</v>
      </c>
      <c r="J3" s="5" t="s">
        <v>557</v>
      </c>
      <c r="K3" s="2" t="s">
        <v>486</v>
      </c>
    </row>
    <row r="4" spans="1:11" ht="72">
      <c r="A4" s="2" t="s">
        <v>453</v>
      </c>
      <c r="B4" s="2" t="s">
        <v>452</v>
      </c>
      <c r="C4" s="2" t="s">
        <v>487</v>
      </c>
      <c r="D4" s="2" t="s">
        <v>488</v>
      </c>
      <c r="E4" s="5" t="s">
        <v>489</v>
      </c>
      <c r="F4" s="2" t="s">
        <v>490</v>
      </c>
      <c r="G4" s="5" t="s">
        <v>491</v>
      </c>
      <c r="H4" s="5" t="s">
        <v>491</v>
      </c>
      <c r="I4" s="2" t="s">
        <v>33</v>
      </c>
      <c r="J4" s="5" t="s">
        <v>558</v>
      </c>
      <c r="K4" s="2" t="s">
        <v>492</v>
      </c>
    </row>
    <row r="5" spans="1:11" ht="72">
      <c r="A5" s="2" t="s">
        <v>454</v>
      </c>
      <c r="B5" s="2" t="s">
        <v>450</v>
      </c>
      <c r="C5" s="2" t="s">
        <v>493</v>
      </c>
      <c r="D5" s="2" t="s">
        <v>494</v>
      </c>
      <c r="E5" s="5" t="s">
        <v>495</v>
      </c>
      <c r="F5" s="2" t="s">
        <v>496</v>
      </c>
      <c r="G5" s="5" t="s">
        <v>497</v>
      </c>
      <c r="H5" s="5" t="s">
        <v>497</v>
      </c>
      <c r="I5" s="2" t="s">
        <v>33</v>
      </c>
      <c r="J5" s="5" t="s">
        <v>559</v>
      </c>
      <c r="K5" s="2" t="s">
        <v>498</v>
      </c>
    </row>
    <row r="6" spans="1:11" ht="86.4">
      <c r="A6" s="2" t="s">
        <v>456</v>
      </c>
      <c r="B6" s="2" t="s">
        <v>455</v>
      </c>
      <c r="C6" s="2" t="s">
        <v>499</v>
      </c>
      <c r="D6" s="2" t="s">
        <v>500</v>
      </c>
      <c r="E6" s="2" t="s">
        <v>501</v>
      </c>
      <c r="F6" s="2" t="s">
        <v>502</v>
      </c>
      <c r="G6" s="2" t="s">
        <v>503</v>
      </c>
      <c r="H6" s="2" t="s">
        <v>503</v>
      </c>
      <c r="I6" s="2" t="s">
        <v>33</v>
      </c>
      <c r="J6" s="5" t="s">
        <v>560</v>
      </c>
      <c r="K6" s="2" t="s">
        <v>504</v>
      </c>
    </row>
    <row r="7" spans="1:11" ht="86.4">
      <c r="A7" s="2" t="s">
        <v>458</v>
      </c>
      <c r="B7" s="2" t="s">
        <v>457</v>
      </c>
      <c r="C7" s="2" t="s">
        <v>505</v>
      </c>
      <c r="D7" s="2" t="s">
        <v>506</v>
      </c>
      <c r="E7" s="5" t="s">
        <v>507</v>
      </c>
      <c r="F7" s="2" t="s">
        <v>508</v>
      </c>
      <c r="G7" s="2" t="s">
        <v>509</v>
      </c>
      <c r="H7" s="2" t="s">
        <v>509</v>
      </c>
      <c r="I7" s="2" t="s">
        <v>33</v>
      </c>
      <c r="J7" s="5" t="s">
        <v>561</v>
      </c>
      <c r="K7" s="2" t="s">
        <v>510</v>
      </c>
    </row>
    <row r="8" spans="1:11" ht="72">
      <c r="A8" s="2" t="s">
        <v>460</v>
      </c>
      <c r="B8" s="2" t="s">
        <v>459</v>
      </c>
      <c r="C8" s="2" t="s">
        <v>511</v>
      </c>
      <c r="D8" s="2" t="s">
        <v>512</v>
      </c>
      <c r="E8" s="5" t="s">
        <v>513</v>
      </c>
      <c r="F8" s="2" t="s">
        <v>514</v>
      </c>
      <c r="G8" s="2" t="s">
        <v>515</v>
      </c>
      <c r="H8" s="2" t="s">
        <v>515</v>
      </c>
      <c r="I8" s="2" t="s">
        <v>33</v>
      </c>
      <c r="J8" s="5" t="s">
        <v>562</v>
      </c>
      <c r="K8" s="2" t="s">
        <v>516</v>
      </c>
    </row>
    <row r="9" spans="1:11" ht="72">
      <c r="A9" s="2" t="s">
        <v>462</v>
      </c>
      <c r="B9" s="2" t="s">
        <v>461</v>
      </c>
      <c r="C9" s="2" t="s">
        <v>517</v>
      </c>
      <c r="D9" s="2" t="s">
        <v>518</v>
      </c>
      <c r="E9" s="5" t="s">
        <v>519</v>
      </c>
      <c r="F9" s="2" t="s">
        <v>520</v>
      </c>
      <c r="G9" s="2" t="s">
        <v>521</v>
      </c>
      <c r="H9" s="2" t="s">
        <v>521</v>
      </c>
      <c r="I9" s="2" t="s">
        <v>33</v>
      </c>
      <c r="J9" s="5" t="s">
        <v>563</v>
      </c>
      <c r="K9" s="2" t="s">
        <v>522</v>
      </c>
    </row>
    <row r="10" spans="1:11" ht="86.4">
      <c r="A10" s="2" t="s">
        <v>464</v>
      </c>
      <c r="B10" s="2" t="s">
        <v>463</v>
      </c>
      <c r="C10" s="2" t="s">
        <v>523</v>
      </c>
      <c r="D10" s="2" t="s">
        <v>524</v>
      </c>
      <c r="E10" s="5" t="s">
        <v>525</v>
      </c>
      <c r="F10" s="2" t="s">
        <v>526</v>
      </c>
      <c r="G10" s="2" t="s">
        <v>527</v>
      </c>
      <c r="H10" s="2" t="s">
        <v>527</v>
      </c>
      <c r="I10" s="2" t="s">
        <v>33</v>
      </c>
      <c r="J10" s="5" t="s">
        <v>564</v>
      </c>
      <c r="K10" s="2" t="s">
        <v>528</v>
      </c>
    </row>
    <row r="11" spans="1:11" ht="86.4">
      <c r="A11" s="2" t="s">
        <v>466</v>
      </c>
      <c r="B11" s="2" t="s">
        <v>465</v>
      </c>
      <c r="C11" s="2" t="s">
        <v>529</v>
      </c>
      <c r="D11" s="2" t="s">
        <v>530</v>
      </c>
      <c r="E11" s="5" t="s">
        <v>531</v>
      </c>
      <c r="F11" s="2" t="s">
        <v>532</v>
      </c>
      <c r="G11" s="2" t="s">
        <v>533</v>
      </c>
      <c r="H11" s="2" t="s">
        <v>533</v>
      </c>
      <c r="I11" s="2" t="s">
        <v>33</v>
      </c>
      <c r="J11" s="5" t="s">
        <v>565</v>
      </c>
      <c r="K11" s="2" t="s">
        <v>534</v>
      </c>
    </row>
    <row r="12" spans="1:11" ht="100.8">
      <c r="A12" s="2" t="s">
        <v>468</v>
      </c>
      <c r="B12" s="2" t="s">
        <v>467</v>
      </c>
      <c r="C12" s="2" t="s">
        <v>535</v>
      </c>
      <c r="D12" s="2" t="s">
        <v>536</v>
      </c>
      <c r="E12" s="5" t="s">
        <v>537</v>
      </c>
      <c r="F12" s="2" t="s">
        <v>538</v>
      </c>
      <c r="G12" s="2" t="s">
        <v>539</v>
      </c>
      <c r="H12" s="2" t="s">
        <v>539</v>
      </c>
      <c r="I12" s="2" t="s">
        <v>33</v>
      </c>
      <c r="J12" s="5" t="s">
        <v>566</v>
      </c>
      <c r="K12" s="2" t="s">
        <v>540</v>
      </c>
    </row>
    <row r="13" spans="1:11" ht="86.4">
      <c r="A13" s="2" t="s">
        <v>470</v>
      </c>
      <c r="B13" s="2" t="s">
        <v>469</v>
      </c>
      <c r="C13" s="2" t="s">
        <v>541</v>
      </c>
      <c r="D13" s="2" t="s">
        <v>542</v>
      </c>
      <c r="E13" s="5" t="s">
        <v>543</v>
      </c>
      <c r="F13" s="2" t="s">
        <v>544</v>
      </c>
      <c r="G13" s="2" t="s">
        <v>545</v>
      </c>
      <c r="H13" s="2" t="s">
        <v>545</v>
      </c>
      <c r="I13" s="2" t="s">
        <v>33</v>
      </c>
      <c r="J13" s="5" t="s">
        <v>567</v>
      </c>
      <c r="K13" s="2" t="s">
        <v>546</v>
      </c>
    </row>
    <row r="14" spans="1:11" ht="86.4">
      <c r="A14" s="2" t="s">
        <v>472</v>
      </c>
      <c r="B14" s="2" t="s">
        <v>471</v>
      </c>
      <c r="C14" s="2" t="s">
        <v>547</v>
      </c>
      <c r="D14" s="2" t="s">
        <v>548</v>
      </c>
      <c r="E14" s="2" t="s">
        <v>549</v>
      </c>
      <c r="F14" s="2" t="s">
        <v>550</v>
      </c>
      <c r="G14" s="2" t="s">
        <v>551</v>
      </c>
      <c r="H14" s="2" t="s">
        <v>551</v>
      </c>
      <c r="I14" s="2" t="s">
        <v>33</v>
      </c>
      <c r="J14" s="5" t="s">
        <v>568</v>
      </c>
      <c r="K14" s="2" t="s">
        <v>552</v>
      </c>
    </row>
    <row r="15" spans="1:11" ht="187.2">
      <c r="A15" s="2" t="s">
        <v>473</v>
      </c>
      <c r="B15" s="2" t="s">
        <v>596</v>
      </c>
      <c r="C15" s="2" t="s">
        <v>597</v>
      </c>
      <c r="D15" s="4" t="s">
        <v>598</v>
      </c>
      <c r="E15" s="5" t="s">
        <v>599</v>
      </c>
      <c r="F15" s="2" t="s">
        <v>600</v>
      </c>
      <c r="G15" s="2" t="s">
        <v>601</v>
      </c>
      <c r="H15" s="2" t="s">
        <v>601</v>
      </c>
      <c r="I15" s="2" t="s">
        <v>33</v>
      </c>
      <c r="J15" s="5" t="s">
        <v>569</v>
      </c>
      <c r="K15" s="2" t="s">
        <v>553</v>
      </c>
    </row>
    <row r="16" spans="1:11" ht="72">
      <c r="A16" s="2" t="s">
        <v>475</v>
      </c>
      <c r="B16" s="2" t="s">
        <v>474</v>
      </c>
      <c r="C16" s="2" t="s">
        <v>605</v>
      </c>
      <c r="D16" s="2" t="s">
        <v>604</v>
      </c>
      <c r="E16" s="2" t="s">
        <v>603</v>
      </c>
      <c r="F16" s="2" t="s">
        <v>554</v>
      </c>
      <c r="G16" s="2" t="s">
        <v>602</v>
      </c>
      <c r="H16" s="2" t="s">
        <v>602</v>
      </c>
      <c r="I16" s="2" t="s">
        <v>33</v>
      </c>
      <c r="J16" s="5" t="s">
        <v>570</v>
      </c>
      <c r="K16" s="2" t="s">
        <v>555</v>
      </c>
    </row>
    <row r="17" spans="1:11" ht="129.6">
      <c r="A17" s="2" t="s">
        <v>476</v>
      </c>
      <c r="B17" s="2" t="s">
        <v>606</v>
      </c>
      <c r="C17" s="2" t="s">
        <v>607</v>
      </c>
      <c r="D17" s="2" t="s">
        <v>608</v>
      </c>
      <c r="E17" s="2" t="s">
        <v>609</v>
      </c>
      <c r="F17" s="2" t="s">
        <v>610</v>
      </c>
      <c r="G17" s="2" t="s">
        <v>611</v>
      </c>
      <c r="H17" s="2" t="s">
        <v>611</v>
      </c>
      <c r="I17" s="2" t="s">
        <v>33</v>
      </c>
      <c r="J17" s="5" t="s">
        <v>612</v>
      </c>
      <c r="K17" s="2" t="s">
        <v>556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01BE-886C-4DDC-81AD-947C5C4E69CA}">
  <dimension ref="A1:L5"/>
  <sheetViews>
    <sheetView workbookViewId="0">
      <selection activeCell="G5" sqref="G5"/>
    </sheetView>
  </sheetViews>
  <sheetFormatPr defaultRowHeight="14.4"/>
  <cols>
    <col min="1" max="1" width="12.5546875" style="4" customWidth="1"/>
    <col min="2" max="2" width="10.33203125" style="4" bestFit="1" customWidth="1"/>
    <col min="3" max="3" width="11.33203125" style="4" customWidth="1"/>
    <col min="4" max="4" width="21" style="4" customWidth="1"/>
    <col min="5" max="5" width="27" style="4" customWidth="1"/>
    <col min="6" max="6" width="17.21875" style="4" customWidth="1"/>
    <col min="7" max="7" width="29.5546875" style="4" customWidth="1"/>
    <col min="8" max="8" width="20.21875" style="4" customWidth="1"/>
    <col min="9" max="9" width="14" style="4" customWidth="1"/>
    <col min="10" max="10" width="19.44140625" style="4" customWidth="1"/>
    <col min="11" max="11" width="7.5546875" style="4" customWidth="1"/>
    <col min="12" max="12" width="14.77734375" style="4" customWidth="1"/>
    <col min="13" max="16384" width="8.88671875" style="4"/>
  </cols>
  <sheetData>
    <row r="1" spans="1:12" ht="28.8">
      <c r="A1" s="1" t="s">
        <v>21</v>
      </c>
      <c r="B1" s="1" t="s">
        <v>22</v>
      </c>
      <c r="C1" s="1" t="s">
        <v>136</v>
      </c>
      <c r="D1" s="1" t="s">
        <v>20</v>
      </c>
      <c r="E1" s="1" t="s">
        <v>134</v>
      </c>
      <c r="F1" s="1" t="s">
        <v>15</v>
      </c>
      <c r="G1" s="1" t="s">
        <v>16</v>
      </c>
      <c r="H1" s="1" t="s">
        <v>23</v>
      </c>
      <c r="I1" s="1" t="s">
        <v>69</v>
      </c>
      <c r="J1" s="1" t="s">
        <v>24</v>
      </c>
      <c r="K1" s="1" t="s">
        <v>17</v>
      </c>
      <c r="L1" s="1" t="s">
        <v>71</v>
      </c>
    </row>
    <row r="2" spans="1:12" ht="168">
      <c r="A2" s="2" t="s">
        <v>67</v>
      </c>
      <c r="B2" s="12">
        <v>46276</v>
      </c>
      <c r="C2" s="2" t="s">
        <v>68</v>
      </c>
      <c r="D2" s="2" t="s">
        <v>138</v>
      </c>
      <c r="E2" s="2" t="s">
        <v>153</v>
      </c>
      <c r="F2" s="2" t="s">
        <v>139</v>
      </c>
      <c r="G2" s="2" t="s">
        <v>140</v>
      </c>
      <c r="H2" s="2" t="s">
        <v>141</v>
      </c>
      <c r="I2" s="2" t="s">
        <v>142</v>
      </c>
      <c r="J2" s="2" t="s">
        <v>143</v>
      </c>
      <c r="K2" s="2" t="s">
        <v>70</v>
      </c>
      <c r="L2" s="2" t="s">
        <v>144</v>
      </c>
    </row>
    <row r="3" spans="1:12" ht="172.8">
      <c r="A3" s="2" t="s">
        <v>137</v>
      </c>
      <c r="B3" s="12">
        <v>46280</v>
      </c>
      <c r="C3" s="2" t="s">
        <v>135</v>
      </c>
      <c r="D3" s="2" t="s">
        <v>145</v>
      </c>
      <c r="E3" s="2" t="s">
        <v>152</v>
      </c>
      <c r="F3" s="2" t="s">
        <v>146</v>
      </c>
      <c r="G3" s="2" t="s">
        <v>147</v>
      </c>
      <c r="H3" s="5" t="s">
        <v>148</v>
      </c>
      <c r="I3" s="2" t="s">
        <v>149</v>
      </c>
      <c r="J3" s="2" t="s">
        <v>150</v>
      </c>
      <c r="K3" s="2" t="s">
        <v>70</v>
      </c>
      <c r="L3" s="2" t="s">
        <v>151</v>
      </c>
    </row>
    <row r="4" spans="1:12" ht="187.2">
      <c r="A4" s="10" t="s">
        <v>431</v>
      </c>
      <c r="B4" s="12">
        <v>46283</v>
      </c>
      <c r="C4" s="2" t="s">
        <v>272</v>
      </c>
      <c r="D4" s="2" t="s">
        <v>273</v>
      </c>
      <c r="E4" s="2" t="s">
        <v>432</v>
      </c>
      <c r="F4" s="2" t="s">
        <v>274</v>
      </c>
      <c r="G4" s="2" t="s">
        <v>275</v>
      </c>
      <c r="H4" s="2" t="s">
        <v>276</v>
      </c>
      <c r="I4" s="2" t="s">
        <v>277</v>
      </c>
      <c r="J4" s="2" t="s">
        <v>278</v>
      </c>
      <c r="K4" s="2" t="s">
        <v>70</v>
      </c>
      <c r="L4" s="2" t="s">
        <v>279</v>
      </c>
    </row>
    <row r="5" spans="1:12" ht="216">
      <c r="A5" s="10" t="s">
        <v>430</v>
      </c>
      <c r="B5" s="12">
        <v>46298</v>
      </c>
      <c r="C5" s="2" t="s">
        <v>425</v>
      </c>
      <c r="D5" s="2" t="s">
        <v>426</v>
      </c>
      <c r="E5" s="2" t="s">
        <v>433</v>
      </c>
      <c r="F5" s="2" t="s">
        <v>427</v>
      </c>
      <c r="G5" s="2" t="s">
        <v>428</v>
      </c>
      <c r="H5" s="2" t="s">
        <v>444</v>
      </c>
      <c r="I5" s="2" t="s">
        <v>429</v>
      </c>
      <c r="J5" s="2" t="s">
        <v>445</v>
      </c>
      <c r="K5" s="2" t="s">
        <v>70</v>
      </c>
      <c r="L5" s="2" t="s">
        <v>446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6B88-DD8B-45A5-9B4A-BCF42512281C}">
  <dimension ref="A1:E7"/>
  <sheetViews>
    <sheetView workbookViewId="0">
      <selection activeCell="E17" sqref="E17"/>
    </sheetView>
  </sheetViews>
  <sheetFormatPr defaultRowHeight="14.4"/>
  <cols>
    <col min="1" max="1" width="26" customWidth="1"/>
    <col min="2" max="5" width="8.88671875" style="10"/>
  </cols>
  <sheetData>
    <row r="1" spans="1:5" ht="28.8">
      <c r="A1" s="1" t="s">
        <v>25</v>
      </c>
      <c r="B1" s="1" t="s">
        <v>26</v>
      </c>
      <c r="C1" s="1" t="s">
        <v>19</v>
      </c>
      <c r="D1" s="1" t="s">
        <v>27</v>
      </c>
      <c r="E1" s="1" t="s">
        <v>28</v>
      </c>
    </row>
    <row r="2" spans="1:5">
      <c r="A2" s="2" t="s">
        <v>297</v>
      </c>
      <c r="B2" s="9">
        <v>5</v>
      </c>
      <c r="C2" s="9">
        <v>5</v>
      </c>
      <c r="D2" s="9">
        <v>0</v>
      </c>
      <c r="E2" s="16">
        <v>1</v>
      </c>
    </row>
    <row r="3" spans="1:5">
      <c r="A3" s="2" t="s">
        <v>298</v>
      </c>
      <c r="B3" s="9">
        <v>14</v>
      </c>
      <c r="C3" s="9">
        <v>14</v>
      </c>
      <c r="D3" s="9">
        <v>0</v>
      </c>
      <c r="E3" s="16">
        <v>1</v>
      </c>
    </row>
    <row r="4" spans="1:5">
      <c r="A4" s="2" t="s">
        <v>299</v>
      </c>
      <c r="B4" s="9">
        <v>6</v>
      </c>
      <c r="C4" s="9">
        <v>6</v>
      </c>
      <c r="D4" s="9">
        <v>0</v>
      </c>
      <c r="E4" s="16">
        <v>1</v>
      </c>
    </row>
    <row r="5" spans="1:5">
      <c r="A5" t="s">
        <v>318</v>
      </c>
      <c r="B5" s="9">
        <v>13</v>
      </c>
      <c r="C5" s="9">
        <v>13</v>
      </c>
      <c r="D5" s="9">
        <v>0</v>
      </c>
      <c r="E5" s="16">
        <v>1</v>
      </c>
    </row>
    <row r="6" spans="1:5">
      <c r="A6" t="s">
        <v>613</v>
      </c>
      <c r="B6" s="9">
        <v>16</v>
      </c>
      <c r="C6" s="9">
        <v>16</v>
      </c>
      <c r="D6" s="9">
        <v>0</v>
      </c>
      <c r="E6" s="17">
        <v>1</v>
      </c>
    </row>
    <row r="7" spans="1:5">
      <c r="A7" s="15" t="s">
        <v>614</v>
      </c>
      <c r="B7" s="10">
        <f>B2+B3+B4+B5+B6</f>
        <v>54</v>
      </c>
      <c r="C7" s="10">
        <f>SUM(C2:C6)</f>
        <v>54</v>
      </c>
      <c r="D7" s="9">
        <v>0</v>
      </c>
      <c r="E7" s="17">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F7B5-6090-47FE-9CE6-89A61875E880}">
  <dimension ref="A1:D17"/>
  <sheetViews>
    <sheetView workbookViewId="0">
      <selection activeCell="C2" sqref="C2"/>
    </sheetView>
  </sheetViews>
  <sheetFormatPr defaultRowHeight="14.4"/>
  <cols>
    <col min="2" max="2" width="64.109375" customWidth="1"/>
    <col min="3" max="3" width="64" customWidth="1"/>
    <col min="4" max="4" width="49.88671875" customWidth="1"/>
  </cols>
  <sheetData>
    <row r="1" spans="1:4">
      <c r="B1" t="s">
        <v>576</v>
      </c>
      <c r="C1" t="s">
        <v>577</v>
      </c>
    </row>
    <row r="2" spans="1:4">
      <c r="A2">
        <v>1</v>
      </c>
      <c r="B2" s="13" t="s">
        <v>574</v>
      </c>
      <c r="C2" s="13" t="s">
        <v>578</v>
      </c>
    </row>
    <row r="3" spans="1:4">
      <c r="B3" s="14" t="s">
        <v>575</v>
      </c>
      <c r="C3" s="14" t="s">
        <v>579</v>
      </c>
      <c r="D3" t="s">
        <v>592</v>
      </c>
    </row>
    <row r="4" spans="1:4">
      <c r="C4" s="13" t="s">
        <v>580</v>
      </c>
    </row>
    <row r="5" spans="1:4">
      <c r="C5" s="14" t="s">
        <v>581</v>
      </c>
      <c r="D5" t="s">
        <v>593</v>
      </c>
    </row>
    <row r="6" spans="1:4">
      <c r="C6" s="13" t="s">
        <v>582</v>
      </c>
    </row>
    <row r="7" spans="1:4">
      <c r="C7" s="14" t="s">
        <v>583</v>
      </c>
      <c r="D7" t="s">
        <v>594</v>
      </c>
    </row>
    <row r="8" spans="1:4">
      <c r="C8" s="13" t="s">
        <v>584</v>
      </c>
    </row>
    <row r="9" spans="1:4">
      <c r="C9" s="14" t="s">
        <v>585</v>
      </c>
      <c r="D9" t="s">
        <v>595</v>
      </c>
    </row>
    <row r="10" spans="1:4">
      <c r="C10" s="13" t="s">
        <v>586</v>
      </c>
    </row>
    <row r="11" spans="1:4">
      <c r="C11" s="13" t="s">
        <v>578</v>
      </c>
    </row>
    <row r="12" spans="1:4">
      <c r="C12" s="14" t="s">
        <v>587</v>
      </c>
    </row>
    <row r="13" spans="1:4">
      <c r="C13" s="13" t="s">
        <v>574</v>
      </c>
    </row>
    <row r="14" spans="1:4">
      <c r="C14" s="14" t="s">
        <v>588</v>
      </c>
    </row>
    <row r="15" spans="1:4">
      <c r="C15" s="13" t="s">
        <v>589</v>
      </c>
    </row>
    <row r="16" spans="1:4">
      <c r="C16" s="14" t="s">
        <v>590</v>
      </c>
    </row>
    <row r="17" spans="3:3">
      <c r="C17" s="14" t="s">
        <v>591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Project_Info</vt:lpstr>
      <vt:lpstr>SHA256_Testing</vt:lpstr>
      <vt:lpstr>Memory_Linked_Config_Test</vt:lpstr>
      <vt:lpstr>Dual_Image_FOTA_Test</vt:lpstr>
      <vt:lpstr>FOTA Boot Flow Validation</vt:lpstr>
      <vt:lpstr>FOTA_AB_Cycling_Recovery</vt:lpstr>
      <vt:lpstr>Defect_Log</vt:lpstr>
      <vt:lpstr>Test_Summary</vt:lpstr>
      <vt:lpstr>COMMON_GDB_ERROR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dc:creator>
  <cp:lastModifiedBy>Mahendra Mute</cp:lastModifiedBy>
  <dcterms:created xsi:type="dcterms:W3CDTF">2015-06-05T18:17:20Z</dcterms:created>
  <dcterms:modified xsi:type="dcterms:W3CDTF">2026-10-12T08:06:20Z</dcterms:modified>
</cp:coreProperties>
</file>